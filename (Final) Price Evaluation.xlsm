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ei Li\Desktop\"/>
    </mc:Choice>
  </mc:AlternateContent>
  <xr:revisionPtr revIDLastSave="0" documentId="13_ncr:1_{CD4B154B-3EEF-45A3-85D7-BFB8F02BDEFF}" xr6:coauthVersionLast="43" xr6:coauthVersionMax="43" xr10:uidLastSave="{00000000-0000-0000-0000-000000000000}"/>
  <bookViews>
    <workbookView xWindow="-120" yWindow="-120" windowWidth="20730" windowHeight="11160" activeTab="2" xr2:uid="{B7731CC1-0DD5-438D-9A70-7866228E0BEB}"/>
  </bookViews>
  <sheets>
    <sheet name="Profit Maximization" sheetId="5" r:id="rId1"/>
    <sheet name="UOB" sheetId="2" state="hidden" r:id="rId2"/>
    <sheet name="Profit Evaluation" sheetId="9" r:id="rId3"/>
    <sheet name="UOB - Actual and Prediction" sheetId="6" r:id="rId4"/>
    <sheet name="Capita" sheetId="3" state="hidden" r:id="rId5"/>
    <sheet name="CMT - Actual and Prediction" sheetId="7" r:id="rId6"/>
    <sheet name="Golden-Agri" sheetId="4" state="hidden" r:id="rId7"/>
    <sheet name="GAR - Actual and Prediction" sheetId="8" r:id="rId8"/>
  </sheets>
  <definedNames>
    <definedName name="solver_adj" localSheetId="0" hidden="1">'Profit Maximization'!$C$9:$E$9</definedName>
    <definedName name="solver_cvg" localSheetId="2" hidden="1">0.0001</definedName>
    <definedName name="solver_cvg" localSheetId="0" hidden="1">0.0001</definedName>
    <definedName name="solver_drv" localSheetId="2" hidden="1">1</definedName>
    <definedName name="solver_drv" localSheetId="0" hidden="1">1</definedName>
    <definedName name="solver_eng" localSheetId="2" hidden="1">1</definedName>
    <definedName name="solver_eng" localSheetId="0" hidden="1">1</definedName>
    <definedName name="solver_est" localSheetId="2" hidden="1">1</definedName>
    <definedName name="solver_est" localSheetId="0" hidden="1">1</definedName>
    <definedName name="solver_itr" localSheetId="2" hidden="1">2147483647</definedName>
    <definedName name="solver_itr" localSheetId="0" hidden="1">2147483647</definedName>
    <definedName name="solver_lhs1" localSheetId="2" hidden="1">'Profit Evaluation'!#REF!</definedName>
    <definedName name="solver_lhs1" localSheetId="0" hidden="1">'Profit Maximization'!$B$32</definedName>
    <definedName name="solver_lhs2" localSheetId="2" hidden="1">'Profit Evaluation'!$B$23</definedName>
    <definedName name="solver_lhs2" localSheetId="0" hidden="1">'Profit Maximization'!$B$35</definedName>
    <definedName name="solver_lhs3" localSheetId="2" hidden="1">'Profit Evaluation'!$B$26</definedName>
    <definedName name="solver_lhs3" localSheetId="0" hidden="1">'Profit Maximization'!$B$38</definedName>
    <definedName name="solver_lhs4" localSheetId="2" hidden="1">'Profit Evaluation'!$C$8:$E$8</definedName>
    <definedName name="solver_lhs4" localSheetId="0" hidden="1">'Profit Maximization'!$C$9:$E$9</definedName>
    <definedName name="solver_mip" localSheetId="2" hidden="1">2147483647</definedName>
    <definedName name="solver_mip" localSheetId="0" hidden="1">2147483647</definedName>
    <definedName name="solver_mni" localSheetId="2" hidden="1">30</definedName>
    <definedName name="solver_mni" localSheetId="0" hidden="1">30</definedName>
    <definedName name="solver_mrt" localSheetId="2" hidden="1">0.075</definedName>
    <definedName name="solver_mrt" localSheetId="0" hidden="1">0.075</definedName>
    <definedName name="solver_msl" localSheetId="2" hidden="1">2</definedName>
    <definedName name="solver_msl" localSheetId="0" hidden="1">2</definedName>
    <definedName name="solver_neg" localSheetId="2" hidden="1">1</definedName>
    <definedName name="solver_neg" localSheetId="0" hidden="1">1</definedName>
    <definedName name="solver_nod" localSheetId="2" hidden="1">2147483647</definedName>
    <definedName name="solver_nod" localSheetId="0" hidden="1">2147483647</definedName>
    <definedName name="solver_num" localSheetId="2" hidden="1">0</definedName>
    <definedName name="solver_num" localSheetId="0" hidden="1">4</definedName>
    <definedName name="solver_nwt" localSheetId="2" hidden="1">1</definedName>
    <definedName name="solver_nwt" localSheetId="0" hidden="1">1</definedName>
    <definedName name="solver_opt" localSheetId="0" hidden="1">'Profit Maximization'!$G$3</definedName>
    <definedName name="solver_pre" localSheetId="2" hidden="1">0.000001</definedName>
    <definedName name="solver_pre" localSheetId="0" hidden="1">0.000001</definedName>
    <definedName name="solver_rbv" localSheetId="2" hidden="1">1</definedName>
    <definedName name="solver_rbv" localSheetId="0" hidden="1">1</definedName>
    <definedName name="solver_rel1" localSheetId="2" hidden="1">1</definedName>
    <definedName name="solver_rel1" localSheetId="0" hidden="1">1</definedName>
    <definedName name="solver_rel2" localSheetId="2" hidden="1">3</definedName>
    <definedName name="solver_rel2" localSheetId="0" hidden="1">3</definedName>
    <definedName name="solver_rel3" localSheetId="2" hidden="1">1</definedName>
    <definedName name="solver_rel3" localSheetId="0" hidden="1">1</definedName>
    <definedName name="solver_rel4" localSheetId="2" hidden="1">4</definedName>
    <definedName name="solver_rel4" localSheetId="0" hidden="1">4</definedName>
    <definedName name="solver_rhs1" localSheetId="2" hidden="1">'Profit Evaluation'!#REF!</definedName>
    <definedName name="solver_rhs1" localSheetId="0" hidden="1">'Profit Maximization'!$D$32</definedName>
    <definedName name="solver_rhs2" localSheetId="2" hidden="1">'Profit Evaluation'!$D$23</definedName>
    <definedName name="solver_rhs2" localSheetId="0" hidden="1">'Profit Maximization'!$D$35</definedName>
    <definedName name="solver_rhs3" localSheetId="2" hidden="1">'Profit Evaluation'!$D$26</definedName>
    <definedName name="solver_rhs3" localSheetId="0" hidden="1">'Profit Maximization'!$D$38</definedName>
    <definedName name="solver_rhs4" localSheetId="2" hidden="1">integer</definedName>
    <definedName name="solver_rhs4" localSheetId="0" hidden="1">integer</definedName>
    <definedName name="solver_rlx" localSheetId="2" hidden="1">2</definedName>
    <definedName name="solver_rlx" localSheetId="0" hidden="1">2</definedName>
    <definedName name="solver_rsd" localSheetId="2" hidden="1">0</definedName>
    <definedName name="solver_rsd" localSheetId="0" hidden="1">0</definedName>
    <definedName name="solver_scl" localSheetId="2" hidden="1">1</definedName>
    <definedName name="solver_scl" localSheetId="0" hidden="1">1</definedName>
    <definedName name="solver_sho" localSheetId="2" hidden="1">2</definedName>
    <definedName name="solver_sho" localSheetId="0" hidden="1">2</definedName>
    <definedName name="solver_ssz" localSheetId="2" hidden="1">100</definedName>
    <definedName name="solver_ssz" localSheetId="0" hidden="1">100</definedName>
    <definedName name="solver_tim" localSheetId="2" hidden="1">2147483647</definedName>
    <definedName name="solver_tim" localSheetId="0" hidden="1">2147483647</definedName>
    <definedName name="solver_tol" localSheetId="2" hidden="1">0.01</definedName>
    <definedName name="solver_tol" localSheetId="0" hidden="1">0.01</definedName>
    <definedName name="solver_typ" localSheetId="2" hidden="1">1</definedName>
    <definedName name="solver_typ" localSheetId="0" hidden="1">1</definedName>
    <definedName name="solver_val" localSheetId="2" hidden="1">0</definedName>
    <definedName name="solver_val" localSheetId="0" hidden="1">0</definedName>
    <definedName name="solver_ver" localSheetId="2" hidden="1">3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2" i="9" l="1"/>
  <c r="D12" i="9"/>
  <c r="C12" i="9"/>
  <c r="E9" i="9"/>
  <c r="D9" i="9"/>
  <c r="C9" i="9"/>
  <c r="E11" i="9" l="1"/>
  <c r="E14" i="9" s="1"/>
  <c r="D11" i="9"/>
  <c r="D14" i="9" s="1"/>
  <c r="C11" i="9"/>
  <c r="C14" i="9" s="1"/>
  <c r="E10" i="9"/>
  <c r="E13" i="9" s="1"/>
  <c r="D10" i="9"/>
  <c r="D13" i="9" s="1"/>
  <c r="C10" i="9"/>
  <c r="C13" i="9" s="1"/>
  <c r="E7" i="9"/>
  <c r="D7" i="9"/>
  <c r="C7" i="9"/>
  <c r="C15" i="9" l="1"/>
  <c r="D15" i="9"/>
  <c r="C18" i="9"/>
  <c r="E15" i="9"/>
  <c r="C17" i="9"/>
  <c r="D38" i="5"/>
  <c r="C19" i="9" l="1"/>
  <c r="E10" i="5"/>
  <c r="D10" i="5"/>
  <c r="B19" i="5" s="1"/>
  <c r="C10" i="5"/>
  <c r="E11" i="5"/>
  <c r="D11" i="5"/>
  <c r="C11" i="5"/>
  <c r="E8" i="5"/>
  <c r="D8" i="5"/>
  <c r="C8" i="5"/>
  <c r="C12" i="5" l="1"/>
  <c r="D12" i="5"/>
  <c r="E12" i="5"/>
  <c r="B38" i="5"/>
  <c r="H5" i="5"/>
  <c r="N21" i="5" s="1"/>
  <c r="H6" i="5"/>
  <c r="N22" i="5" s="1"/>
  <c r="B32" i="5"/>
  <c r="B35" i="5" l="1"/>
  <c r="G3" i="5"/>
  <c r="N20" i="5" s="1"/>
</calcChain>
</file>

<file path=xl/sharedStrings.xml><?xml version="1.0" encoding="utf-8"?>
<sst xmlns="http://schemas.openxmlformats.org/spreadsheetml/2006/main" count="885" uniqueCount="37">
  <si>
    <t>UOB</t>
  </si>
  <si>
    <t>Capita</t>
  </si>
  <si>
    <t>Golden Agr</t>
  </si>
  <si>
    <t>Risk Appetite</t>
  </si>
  <si>
    <t>Low</t>
  </si>
  <si>
    <t>Mid</t>
  </si>
  <si>
    <t>High</t>
  </si>
  <si>
    <t>Date</t>
  </si>
  <si>
    <t>-</t>
  </si>
  <si>
    <t>Predicted Price</t>
  </si>
  <si>
    <t>Constraints</t>
  </si>
  <si>
    <t>Sum of Portfolio = 1</t>
  </si>
  <si>
    <t>&lt;=</t>
  </si>
  <si>
    <t>Purchase Date</t>
  </si>
  <si>
    <t>Purchase Price</t>
  </si>
  <si>
    <t>Predicted</t>
  </si>
  <si>
    <t>Trainset/Testset</t>
  </si>
  <si>
    <t>Actual</t>
  </si>
  <si>
    <t>Trainset</t>
  </si>
  <si>
    <t>Testset</t>
  </si>
  <si>
    <t>&gt;=</t>
  </si>
  <si>
    <t>Profitability</t>
  </si>
  <si>
    <t>Expected Return</t>
  </si>
  <si>
    <t>Transaction Date</t>
  </si>
  <si>
    <t>Predicted Price at Transaction Date</t>
  </si>
  <si>
    <t>Quantity to be purchased</t>
  </si>
  <si>
    <t>Proportion of Portfolio</t>
  </si>
  <si>
    <t>Predicted Selling Price of Portfolio</t>
  </si>
  <si>
    <t>Total Spending on Portfolio bought</t>
  </si>
  <si>
    <t>Expected Profitability</t>
  </si>
  <si>
    <t>User Input</t>
  </si>
  <si>
    <t>Profit</t>
  </si>
  <si>
    <t>Cost</t>
  </si>
  <si>
    <t>Revenue</t>
  </si>
  <si>
    <t>Predicted Purchase Price</t>
  </si>
  <si>
    <t>Actual Predicted Price at Transaction Date</t>
  </si>
  <si>
    <t>Predicted 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</si>
</sst>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0.00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0F0F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1">
    <xf numFmtId="0" fontId="0" fillId="0" borderId="0" xfId="0"/>
    <xf numFmtId="3" fontId="0" fillId="0" borderId="0" xfId="0" applyNumberFormat="1"/>
    <xf numFmtId="14" fontId="0" fillId="0" borderId="0" xfId="0" applyNumberFormat="1"/>
    <xf numFmtId="0" fontId="4" fillId="0" borderId="0" xfId="0" applyFont="1"/>
    <xf numFmtId="0" fontId="3" fillId="0" borderId="0" xfId="0" applyFont="1"/>
    <xf numFmtId="44" fontId="0" fillId="2" borderId="0" xfId="1" applyFont="1" applyFill="1"/>
    <xf numFmtId="14" fontId="3" fillId="3" borderId="0" xfId="0" applyNumberFormat="1" applyFont="1" applyFill="1"/>
    <xf numFmtId="0" fontId="0" fillId="6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2" borderId="1" xfId="0" applyFill="1" applyBorder="1"/>
    <xf numFmtId="0" fontId="0" fillId="0" borderId="0" xfId="0" applyBorder="1"/>
    <xf numFmtId="14" fontId="0" fillId="3" borderId="1" xfId="0" applyNumberFormat="1" applyFill="1" applyBorder="1"/>
    <xf numFmtId="0" fontId="0" fillId="3" borderId="1" xfId="0" applyFill="1" applyBorder="1" applyAlignment="1">
      <alignment horizontal="center"/>
    </xf>
    <xf numFmtId="44" fontId="5" fillId="2" borderId="1" xfId="1" applyFont="1" applyFill="1" applyBorder="1"/>
    <xf numFmtId="0" fontId="0" fillId="3" borderId="1" xfId="0" applyFill="1" applyBorder="1"/>
    <xf numFmtId="0" fontId="0" fillId="7" borderId="1" xfId="0" applyFill="1" applyBorder="1"/>
    <xf numFmtId="44" fontId="0" fillId="7" borderId="1" xfId="1" applyFont="1" applyFill="1" applyBorder="1"/>
    <xf numFmtId="0" fontId="0" fillId="0" borderId="0" xfId="0" applyFill="1"/>
    <xf numFmtId="0" fontId="0" fillId="8" borderId="1" xfId="0" applyFill="1" applyBorder="1"/>
    <xf numFmtId="0" fontId="2" fillId="8" borderId="1" xfId="0" applyFont="1" applyFill="1" applyBorder="1"/>
    <xf numFmtId="3" fontId="0" fillId="8" borderId="1" xfId="0" applyNumberFormat="1" applyFill="1" applyBorder="1"/>
    <xf numFmtId="0" fontId="3" fillId="8" borderId="0" xfId="0" applyFont="1" applyFill="1"/>
    <xf numFmtId="0" fontId="6" fillId="0" borderId="0" xfId="0" applyFont="1"/>
    <xf numFmtId="44" fontId="6" fillId="0" borderId="0" xfId="0" applyNumberFormat="1" applyFont="1"/>
    <xf numFmtId="164" fontId="0" fillId="8" borderId="1" xfId="0" applyNumberFormat="1" applyFill="1" applyBorder="1"/>
    <xf numFmtId="10" fontId="2" fillId="8" borderId="1" xfId="2" applyNumberFormat="1" applyFont="1" applyFill="1" applyBorder="1"/>
    <xf numFmtId="44" fontId="0" fillId="8" borderId="1" xfId="1" applyFont="1" applyFill="1" applyBorder="1"/>
    <xf numFmtId="0" fontId="0" fillId="7" borderId="0" xfId="0" applyFill="1"/>
    <xf numFmtId="0" fontId="0" fillId="8" borderId="1" xfId="2" applyNumberFormat="1" applyFont="1" applyFill="1" applyBorder="1"/>
    <xf numFmtId="0" fontId="0" fillId="8" borderId="0" xfId="0" applyFill="1" applyAlignment="1">
      <alignment horizontal="left" vertical="center" wrapText="1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F0F0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Portfolio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'Profit Maximization'!$B$9</c:f>
              <c:strCache>
                <c:ptCount val="1"/>
                <c:pt idx="0">
                  <c:v>Quantity to be purchased</c:v>
                </c:pt>
              </c:strCache>
            </c:strRef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cat>
            <c:strRef>
              <c:f>'Profit Maximization'!$C$7:$E$7</c:f>
              <c:strCache>
                <c:ptCount val="3"/>
                <c:pt idx="0">
                  <c:v>UOB</c:v>
                </c:pt>
                <c:pt idx="1">
                  <c:v>Capita</c:v>
                </c:pt>
                <c:pt idx="2">
                  <c:v>Golden Agr</c:v>
                </c:pt>
              </c:strCache>
            </c:strRef>
          </c:cat>
          <c:val>
            <c:numRef>
              <c:f>'Profit Maximization'!$C$9:$E$9</c:f>
              <c:numCache>
                <c:formatCode>General</c:formatCode>
                <c:ptCount val="3"/>
                <c:pt idx="0">
                  <c:v>0</c:v>
                </c:pt>
                <c:pt idx="1">
                  <c:v>15584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97-4B10-B6F1-34BFF9CB3A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34259816"/>
        <c:axId val="634256536"/>
      </c:barChart>
      <c:lineChart>
        <c:grouping val="standard"/>
        <c:varyColors val="0"/>
        <c:ser>
          <c:idx val="2"/>
          <c:order val="1"/>
          <c:tx>
            <c:strRef>
              <c:f>'Profit Maximization'!$B$11</c:f>
              <c:strCache>
                <c:ptCount val="1"/>
                <c:pt idx="0">
                  <c:v>Purchase Price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'Profit Maximization'!$C$11:$E$11</c:f>
              <c:numCache>
                <c:formatCode>0.0000</c:formatCode>
                <c:ptCount val="3"/>
                <c:pt idx="0">
                  <c:v>21.685000500000001</c:v>
                </c:pt>
                <c:pt idx="1">
                  <c:v>1.925</c:v>
                </c:pt>
                <c:pt idx="2">
                  <c:v>0.57999999999999996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297-4B10-B6F1-34BFF9CB3A4B}"/>
            </c:ext>
          </c:extLst>
        </c:ser>
        <c:ser>
          <c:idx val="1"/>
          <c:order val="2"/>
          <c:tx>
            <c:strRef>
              <c:f>'Profit Maximization'!$B$10</c:f>
              <c:strCache>
                <c:ptCount val="1"/>
                <c:pt idx="0">
                  <c:v>Predicted Price at Transaction Date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'Profit Maximization'!$C$10:$E$10</c:f>
              <c:numCache>
                <c:formatCode>0.0000</c:formatCode>
                <c:ptCount val="3"/>
                <c:pt idx="0">
                  <c:v>25.174822795183001</c:v>
                </c:pt>
                <c:pt idx="1">
                  <c:v>2.3016344378888598</c:v>
                </c:pt>
                <c:pt idx="2">
                  <c:v>0.26232042822986801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297-4B10-B6F1-34BFF9CB3A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4259160"/>
        <c:axId val="634263752"/>
      </c:lineChart>
      <c:catAx>
        <c:axId val="634259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256536"/>
        <c:crosses val="autoZero"/>
        <c:auto val="1"/>
        <c:lblAlgn val="ctr"/>
        <c:lblOffset val="100"/>
        <c:noMultiLvlLbl val="0"/>
      </c:catAx>
      <c:valAx>
        <c:axId val="63425653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Quantity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259816"/>
        <c:crosses val="autoZero"/>
        <c:crossBetween val="between"/>
      </c:valAx>
      <c:valAx>
        <c:axId val="63426375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259160"/>
        <c:crosses val="max"/>
        <c:crossBetween val="between"/>
      </c:valAx>
      <c:catAx>
        <c:axId val="63425916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34263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57020728175652502"/>
          <c:y val="7.4203478737282919E-2"/>
          <c:w val="0.33251289397288686"/>
          <c:h val="0.18578106312762749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Profitability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pattFill prst="ltUpDiag">
                <a:fgClr>
                  <a:schemeClr val="dk1">
                    <a:tint val="88500"/>
                  </a:schemeClr>
                </a:fgClr>
                <a:bgClr>
                  <a:schemeClr val="dk1">
                    <a:tint val="885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dk1">
                    <a:tint val="885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CF23-4537-807E-55690DE2DEAF}"/>
              </c:ext>
            </c:extLst>
          </c:dPt>
          <c:dPt>
            <c:idx val="1"/>
            <c:bubble3D val="0"/>
            <c:spPr>
              <a:pattFill prst="ltUpDiag">
                <a:fgClr>
                  <a:schemeClr val="dk1">
                    <a:tint val="55000"/>
                  </a:schemeClr>
                </a:fgClr>
                <a:bgClr>
                  <a:schemeClr val="dk1">
                    <a:tint val="55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dk1">
                    <a:tint val="55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0D8B-451F-9A8D-FCD0930E05E8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fld id="{E5C01A94-49C2-4681-B985-7DFF4AA6785D}" type="CATEGORYNAME">
                      <a:rPr lang="en-US"/>
                      <a:pPr/>
                      <a:t>[CATEGORY NAME]</a:t>
                    </a:fld>
                    <a:endParaRPr lang="en-SG"/>
                  </a:p>
                </c:rich>
              </c:tx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0D8B-451F-9A8D-FCD0930E05E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'Profit Maximization'!$M$20:$M$21</c:f>
              <c:strCache>
                <c:ptCount val="2"/>
                <c:pt idx="0">
                  <c:v>Profit</c:v>
                </c:pt>
                <c:pt idx="1">
                  <c:v>Cost</c:v>
                </c:pt>
              </c:strCache>
            </c:strRef>
          </c:cat>
          <c:val>
            <c:numRef>
              <c:f>'Profit Maximization'!$N$20:$N$21</c:f>
              <c:numCache>
                <c:formatCode>_("$"* #,##0.00_);_("$"* \(#,##0.00\);_("$"* "-"??_);_(@_)</c:formatCode>
                <c:ptCount val="2"/>
                <c:pt idx="0">
                  <c:v>5869.4710800599896</c:v>
                </c:pt>
                <c:pt idx="1">
                  <c:v>29999.200000000001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8B-451F-9A8D-FCD0930E05E8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Predicted</a:t>
            </a:r>
            <a:r>
              <a:rPr lang="en-SG" baseline="0"/>
              <a:t> Return vs Expected Return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'Profit Evaluation'!$B$13</c:f>
              <c:strCache>
                <c:ptCount val="1"/>
                <c:pt idx="0">
                  <c:v>Predicted Return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'Profit Evaluation'!$C$6:$E$6</c:f>
              <c:strCache>
                <c:ptCount val="3"/>
                <c:pt idx="0">
                  <c:v>UOB</c:v>
                </c:pt>
                <c:pt idx="1">
                  <c:v>Capita</c:v>
                </c:pt>
                <c:pt idx="2">
                  <c:v>Golden Agr</c:v>
                </c:pt>
              </c:strCache>
            </c:strRef>
          </c:cat>
          <c:val>
            <c:numRef>
              <c:f>'Profit Evaluation'!$C$13:$E$13</c:f>
              <c:numCache>
                <c:formatCode>General</c:formatCode>
                <c:ptCount val="3"/>
                <c:pt idx="0">
                  <c:v>561.23723908075999</c:v>
                </c:pt>
                <c:pt idx="1">
                  <c:v>6840.6932204962523</c:v>
                </c:pt>
                <c:pt idx="2">
                  <c:v>-3290.9248396754197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3C-4392-A547-8B9B7BCE3420}"/>
            </c:ext>
          </c:extLst>
        </c:ser>
        <c:ser>
          <c:idx val="1"/>
          <c:order val="1"/>
          <c:tx>
            <c:strRef>
              <c:f>'Profit Evaluation'!$B$14</c:f>
              <c:strCache>
                <c:ptCount val="1"/>
                <c:pt idx="0">
                  <c:v>Expected Return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'Profit Evaluation'!$C$6:$E$6</c:f>
              <c:strCache>
                <c:ptCount val="3"/>
                <c:pt idx="0">
                  <c:v>UOB</c:v>
                </c:pt>
                <c:pt idx="1">
                  <c:v>Capita</c:v>
                </c:pt>
                <c:pt idx="2">
                  <c:v>Golden Agr</c:v>
                </c:pt>
              </c:strCache>
            </c:strRef>
          </c:cat>
          <c:val>
            <c:numRef>
              <c:f>'Profit Evaluation'!$C$14:$E$14</c:f>
              <c:numCache>
                <c:formatCode>General</c:formatCode>
                <c:ptCount val="3"/>
                <c:pt idx="0">
                  <c:v>762.00009999999952</c:v>
                </c:pt>
                <c:pt idx="1">
                  <c:v>6749.9999999999991</c:v>
                </c:pt>
                <c:pt idx="2">
                  <c:v>-3274.9999999999995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3C-4392-A547-8B9B7BCE34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8783176"/>
        <c:axId val="438781208"/>
      </c:barChart>
      <c:catAx>
        <c:axId val="438783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781208"/>
        <c:crosses val="autoZero"/>
        <c:auto val="1"/>
        <c:lblAlgn val="ctr"/>
        <c:lblOffset val="100"/>
        <c:noMultiLvlLbl val="0"/>
      </c:catAx>
      <c:valAx>
        <c:axId val="43878120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783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15875" cap="flat" cmpd="sng" algn="ctr">
        <a:solidFill>
          <a:schemeClr val="tx1">
            <a:lumMod val="65000"/>
            <a:lumOff val="3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571501</xdr:colOff>
      <xdr:row>1</xdr:row>
      <xdr:rowOff>28574</xdr:rowOff>
    </xdr:from>
    <xdr:to>
      <xdr:col>5</xdr:col>
      <xdr:colOff>133350</xdr:colOff>
      <xdr:row>4</xdr:row>
      <xdr:rowOff>38099</xdr:rowOff>
    </xdr:to>
    <xdr:sp macro="[0]!CalPro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F040D89-54A8-4403-8B91-D216783B2A52}"/>
            </a:ext>
          </a:extLst>
        </xdr:cNvPr>
        <xdr:cNvSpPr/>
      </xdr:nvSpPr>
      <xdr:spPr>
        <a:xfrm>
          <a:off x="4914901" y="219074"/>
          <a:ext cx="1171574" cy="581025"/>
        </a:xfrm>
        <a:prstGeom prst="roundRect">
          <a:avLst/>
        </a:prstGeom>
        <a:ln>
          <a:noFill/>
        </a:ln>
        <a:effectLst>
          <a:glow rad="635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SG" sz="1100"/>
            <a:t>Recalculate </a:t>
          </a:r>
        </a:p>
        <a:p>
          <a:pPr algn="ctr"/>
          <a:r>
            <a:rPr lang="en-SG" sz="1100"/>
            <a:t>Expected Profit</a:t>
          </a:r>
        </a:p>
      </xdr:txBody>
    </xdr:sp>
    <xdr:clientData/>
  </xdr:twoCellAnchor>
  <xdr:twoCellAnchor>
    <xdr:from>
      <xdr:col>5</xdr:col>
      <xdr:colOff>178593</xdr:colOff>
      <xdr:row>7</xdr:row>
      <xdr:rowOff>75406</xdr:rowOff>
    </xdr:from>
    <xdr:to>
      <xdr:col>11</xdr:col>
      <xdr:colOff>166686</xdr:colOff>
      <xdr:row>26</xdr:row>
      <xdr:rowOff>142876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0A88A39-A55D-43A8-95C7-41E24C3FE2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428626</xdr:colOff>
      <xdr:row>1</xdr:row>
      <xdr:rowOff>151075</xdr:rowOff>
    </xdr:from>
    <xdr:to>
      <xdr:col>15</xdr:col>
      <xdr:colOff>547687</xdr:colOff>
      <xdr:row>18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FB903C5-ABE6-4C1F-BB68-0AD079A82E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304799</xdr:colOff>
      <xdr:row>2</xdr:row>
      <xdr:rowOff>9526</xdr:rowOff>
    </xdr:from>
    <xdr:to>
      <xdr:col>11</xdr:col>
      <xdr:colOff>66675</xdr:colOff>
      <xdr:row>24</xdr:row>
      <xdr:rowOff>47625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A291F7C-35EE-4E47-8084-07659550FD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D6610-2A32-4547-AEFC-FDF58EA587FE}">
  <sheetPr codeName="Sheet1"/>
  <dimension ref="B1:S38"/>
  <sheetViews>
    <sheetView showGridLines="0" zoomScale="80" zoomScaleNormal="80" workbookViewId="0"/>
  </sheetViews>
  <sheetFormatPr defaultRowHeight="15" x14ac:dyDescent="0.25"/>
  <cols>
    <col min="1" max="1" width="4" customWidth="1"/>
    <col min="2" max="2" width="36" bestFit="1" customWidth="1"/>
    <col min="3" max="3" width="11.5703125" bestFit="1" customWidth="1"/>
    <col min="4" max="4" width="12.140625" customWidth="1"/>
    <col min="5" max="5" width="12" bestFit="1" customWidth="1"/>
    <col min="7" max="7" width="36" bestFit="1" customWidth="1"/>
    <col min="8" max="8" width="14.28515625" bestFit="1" customWidth="1"/>
    <col min="9" max="9" width="12.140625" bestFit="1" customWidth="1"/>
    <col min="14" max="14" width="12.28515625" bestFit="1" customWidth="1"/>
  </cols>
  <sheetData>
    <row r="1" spans="2:19" x14ac:dyDescent="0.25">
      <c r="P1" s="28"/>
      <c r="Q1" s="28"/>
      <c r="R1" s="28"/>
      <c r="S1" s="28"/>
    </row>
    <row r="2" spans="2:19" x14ac:dyDescent="0.25">
      <c r="B2" s="6" t="s">
        <v>30</v>
      </c>
      <c r="G2" s="4" t="s">
        <v>29</v>
      </c>
      <c r="P2" s="28"/>
      <c r="Q2" s="28"/>
      <c r="R2" s="28"/>
      <c r="S2" s="28"/>
    </row>
    <row r="3" spans="2:19" x14ac:dyDescent="0.25">
      <c r="B3" s="19" t="s">
        <v>13</v>
      </c>
      <c r="C3" s="12">
        <v>41728</v>
      </c>
      <c r="G3" s="5">
        <f>H6-H5</f>
        <v>5869.4710800599896</v>
      </c>
      <c r="P3" s="28"/>
      <c r="Q3" s="28"/>
      <c r="R3" s="28"/>
      <c r="S3" s="28"/>
    </row>
    <row r="4" spans="2:19" x14ac:dyDescent="0.25">
      <c r="B4" s="19" t="s">
        <v>23</v>
      </c>
      <c r="C4" s="12">
        <v>43478</v>
      </c>
      <c r="P4" s="28"/>
      <c r="Q4" s="28"/>
      <c r="R4" s="28"/>
      <c r="S4" s="28"/>
    </row>
    <row r="5" spans="2:19" x14ac:dyDescent="0.25">
      <c r="B5" s="19" t="s">
        <v>3</v>
      </c>
      <c r="C5" s="13" t="s">
        <v>6</v>
      </c>
      <c r="G5" s="16" t="s">
        <v>28</v>
      </c>
      <c r="H5" s="17">
        <f>SUMPRODUCT(C9:E9,C11:E11)</f>
        <v>29999.200000000001</v>
      </c>
      <c r="P5" s="28"/>
      <c r="Q5" s="28"/>
      <c r="R5" s="28"/>
      <c r="S5" s="28"/>
    </row>
    <row r="6" spans="2:19" x14ac:dyDescent="0.25">
      <c r="G6" s="16" t="s">
        <v>27</v>
      </c>
      <c r="H6" s="17">
        <f>SUMPRODUCT(C9:E9,C10:E10)</f>
        <v>35868.67108005999</v>
      </c>
      <c r="P6" s="28"/>
      <c r="Q6" s="28"/>
      <c r="R6" s="28"/>
      <c r="S6" s="28"/>
    </row>
    <row r="7" spans="2:19" x14ac:dyDescent="0.25">
      <c r="B7" s="11"/>
      <c r="C7" s="7" t="s">
        <v>0</v>
      </c>
      <c r="D7" s="8" t="s">
        <v>1</v>
      </c>
      <c r="E7" s="9" t="s">
        <v>2</v>
      </c>
      <c r="P7" s="28"/>
      <c r="Q7" s="28"/>
      <c r="R7" s="28"/>
      <c r="S7" s="28"/>
    </row>
    <row r="8" spans="2:19" x14ac:dyDescent="0.25">
      <c r="B8" s="19" t="s">
        <v>26</v>
      </c>
      <c r="C8" s="19">
        <f>C9/SUM($C$9:$E$9)</f>
        <v>0</v>
      </c>
      <c r="D8" s="19">
        <f>D9/SUM($C$9:$E$9)</f>
        <v>1</v>
      </c>
      <c r="E8" s="19">
        <f>E9/SUM($C$9:$E$9)</f>
        <v>0</v>
      </c>
      <c r="P8" s="28"/>
      <c r="Q8" s="28"/>
      <c r="R8" s="28"/>
      <c r="S8" s="28"/>
    </row>
    <row r="9" spans="2:19" x14ac:dyDescent="0.25">
      <c r="B9" s="19" t="s">
        <v>25</v>
      </c>
      <c r="C9" s="10">
        <v>0</v>
      </c>
      <c r="D9" s="10">
        <v>15584</v>
      </c>
      <c r="E9" s="10">
        <v>0</v>
      </c>
      <c r="P9" s="28"/>
      <c r="Q9" s="28"/>
      <c r="R9" s="28"/>
      <c r="S9" s="28"/>
    </row>
    <row r="10" spans="2:19" x14ac:dyDescent="0.25">
      <c r="B10" s="19" t="s">
        <v>24</v>
      </c>
      <c r="C10" s="25">
        <f>VLOOKUP($C$4,'UOB - Actual and Prediction'!$A$1:$D$272,2,FALSE)</f>
        <v>25.174822795183001</v>
      </c>
      <c r="D10" s="25">
        <f>VLOOKUP($C$4,'CMT - Actual and Prediction'!$A$1:$D$272,2,FALSE)</f>
        <v>2.3016344378888598</v>
      </c>
      <c r="E10" s="25">
        <f>VLOOKUP($C$4,'GAR - Actual and Prediction'!$A$1:$D$272,2,FALSE)</f>
        <v>0.26232042822986801</v>
      </c>
      <c r="P10" s="28"/>
      <c r="Q10" s="28"/>
      <c r="R10" s="28"/>
      <c r="S10" s="28"/>
    </row>
    <row r="11" spans="2:19" x14ac:dyDescent="0.25">
      <c r="B11" s="19" t="s">
        <v>14</v>
      </c>
      <c r="C11" s="25">
        <f>VLOOKUP($C$3,'UOB - Actual and Prediction'!$A$1:$D$272,4,FALSE)</f>
        <v>21.685000500000001</v>
      </c>
      <c r="D11" s="25">
        <f>VLOOKUP($C$3,'CMT - Actual and Prediction'!$A$1:$D$272,4,FALSE)</f>
        <v>1.925</v>
      </c>
      <c r="E11" s="25">
        <f>VLOOKUP($C$3,'GAR - Actual and Prediction'!$A$1:$D$272,4,FALSE)</f>
        <v>0.57999999999999996</v>
      </c>
      <c r="P11" s="28"/>
      <c r="Q11" s="28"/>
      <c r="R11" s="28"/>
      <c r="S11" s="28"/>
    </row>
    <row r="12" spans="2:19" x14ac:dyDescent="0.25">
      <c r="B12" s="20" t="s">
        <v>22</v>
      </c>
      <c r="C12" s="26">
        <f>(C10-C11)/C10</f>
        <v>0.13862350982866697</v>
      </c>
      <c r="D12" s="26">
        <f>(D10-D11)/D10</f>
        <v>0.1636378182776593</v>
      </c>
      <c r="E12" s="26">
        <f>(E10-E11)/E10</f>
        <v>-1.211036341751293</v>
      </c>
      <c r="P12" s="28"/>
      <c r="Q12" s="28"/>
      <c r="R12" s="28"/>
      <c r="S12" s="28"/>
    </row>
    <row r="13" spans="2:19" x14ac:dyDescent="0.25">
      <c r="G13" s="4"/>
      <c r="P13" s="28"/>
      <c r="Q13" s="28"/>
      <c r="R13" s="28"/>
      <c r="S13" s="28"/>
    </row>
    <row r="14" spans="2:19" x14ac:dyDescent="0.25">
      <c r="B14" s="22" t="s">
        <v>3</v>
      </c>
      <c r="C14" s="18"/>
      <c r="P14" s="28"/>
      <c r="Q14" s="28"/>
      <c r="R14" s="28"/>
      <c r="S14" s="28"/>
    </row>
    <row r="15" spans="2:19" x14ac:dyDescent="0.25">
      <c r="B15" s="19" t="s">
        <v>4</v>
      </c>
      <c r="C15" s="21">
        <v>10000</v>
      </c>
      <c r="P15" s="28"/>
      <c r="Q15" s="28"/>
      <c r="R15" s="28"/>
      <c r="S15" s="28"/>
    </row>
    <row r="16" spans="2:19" x14ac:dyDescent="0.25">
      <c r="B16" s="19" t="s">
        <v>5</v>
      </c>
      <c r="C16" s="21">
        <v>15000</v>
      </c>
      <c r="P16" s="28"/>
      <c r="Q16" s="28"/>
      <c r="R16" s="28"/>
      <c r="S16" s="28"/>
    </row>
    <row r="17" spans="2:19" x14ac:dyDescent="0.25">
      <c r="B17" s="19" t="s">
        <v>6</v>
      </c>
      <c r="C17" s="21">
        <v>30000</v>
      </c>
      <c r="P17" s="28"/>
      <c r="Q17" s="28"/>
      <c r="R17" s="28"/>
      <c r="S17" s="28"/>
    </row>
    <row r="18" spans="2:19" x14ac:dyDescent="0.25">
      <c r="P18" s="28"/>
      <c r="Q18" s="28"/>
      <c r="R18" s="28"/>
      <c r="S18" s="28"/>
    </row>
    <row r="19" spans="2:19" x14ac:dyDescent="0.25">
      <c r="B19" s="30" t="str">
        <f>IF(AND(C9=0,D9=0,E9=0),"It's best if you don't invest in either of the stock in this portfolio",IF(AND(C9=0,D9=0),"Optimal to sell "&amp;E9&amp;" number of Golden Agri shares @ $"&amp;ROUNDUP(E10,2)&amp;" each to maximize profit.",IF(AND(C9=0,E9=0),"Optimal to sell "&amp;D9&amp;" number of CapitaLand shares @ $"&amp;ROUNDUP(D10,2)&amp;" each to maximize profit.",IF(AND(D9=0,E9=0),"Optimal to sell "&amp;C9&amp;" number of UOB shares @ $"&amp;ROUNDUP(C10,2)&amp;" each to maximize profit.",IF(D9=0,"Optimal to sell "&amp;C9&amp;" number of UOB shares @ $"&amp;ROUNDUP(C10,2)&amp;" each and "&amp;E9&amp;" number of Golden Agri shares @$"&amp;ROUNDUP(E10,2)&amp;" each to maximize profit.",IF(E9=0,"Optimal to sell "&amp;C9&amp;" number of UOB shares @ $"&amp;ROUNDUP(C10,2)&amp;" each and "&amp;D9&amp;" number of CapitaLand shares @ $"&amp;ROUNDUP(D10,2)&amp;" each to maximize profit.",IF(C9=0,"Optimal to sell "&amp;D9&amp;" number of CapitaLand shares @ $"&amp;ROUNDUP(D10,2)&amp;" each and "&amp;E9&amp;" number of Golden Agri shares @$"&amp;ROUNDUP(E10,2)&amp;" each to maximize profit.","Optimal to sell "&amp;C9&amp;" number of UOB shares @ $"&amp;ROUNDUP(C10,2)&amp;" each, "&amp;D9&amp;" number of CapitaLand shares @ $"&amp;ROUNDUP(D10,2)&amp;" each and "&amp;E9&amp;" number of Golden Agri shares @$"&amp;ROUNDUP(E10,2)&amp;" each to maximize profit.")))))))</f>
        <v>Optimal to sell 15584 number of CapitaLand shares @ $2.31 each to maximize profit.</v>
      </c>
      <c r="C19" s="30"/>
      <c r="D19" s="30"/>
      <c r="E19" s="30"/>
      <c r="P19" s="28"/>
      <c r="Q19" s="28"/>
      <c r="R19" s="28"/>
      <c r="S19" s="28"/>
    </row>
    <row r="20" spans="2:19" x14ac:dyDescent="0.25">
      <c r="B20" s="30"/>
      <c r="C20" s="30"/>
      <c r="D20" s="30"/>
      <c r="E20" s="30"/>
      <c r="M20" s="23" t="s">
        <v>31</v>
      </c>
      <c r="N20" s="24">
        <f>G3</f>
        <v>5869.4710800599896</v>
      </c>
      <c r="P20" s="28"/>
      <c r="Q20" s="28"/>
      <c r="R20" s="28"/>
      <c r="S20" s="28"/>
    </row>
    <row r="21" spans="2:19" x14ac:dyDescent="0.25">
      <c r="B21" s="30"/>
      <c r="C21" s="30"/>
      <c r="D21" s="30"/>
      <c r="E21" s="30"/>
      <c r="M21" s="23" t="s">
        <v>32</v>
      </c>
      <c r="N21" s="24">
        <f>H5</f>
        <v>29999.200000000001</v>
      </c>
      <c r="P21" s="28"/>
      <c r="Q21" s="28"/>
      <c r="R21" s="28"/>
      <c r="S21" s="28"/>
    </row>
    <row r="22" spans="2:19" x14ac:dyDescent="0.25">
      <c r="B22" s="30"/>
      <c r="C22" s="30"/>
      <c r="D22" s="30"/>
      <c r="E22" s="30"/>
      <c r="M22" s="23" t="s">
        <v>33</v>
      </c>
      <c r="N22" s="24">
        <f>H6</f>
        <v>35868.67108005999</v>
      </c>
      <c r="P22" s="28"/>
      <c r="Q22" s="28"/>
      <c r="R22" s="28"/>
      <c r="S22" s="28"/>
    </row>
    <row r="23" spans="2:19" x14ac:dyDescent="0.25">
      <c r="B23" s="30"/>
      <c r="C23" s="30"/>
      <c r="D23" s="30"/>
      <c r="E23" s="30"/>
      <c r="P23" s="28"/>
      <c r="Q23" s="28"/>
      <c r="R23" s="28"/>
      <c r="S23" s="28"/>
    </row>
    <row r="24" spans="2:19" x14ac:dyDescent="0.25">
      <c r="B24" s="30"/>
      <c r="C24" s="30"/>
      <c r="D24" s="30"/>
      <c r="E24" s="30"/>
      <c r="P24" s="28"/>
      <c r="Q24" s="28"/>
      <c r="R24" s="28"/>
      <c r="S24" s="28"/>
    </row>
    <row r="25" spans="2:19" x14ac:dyDescent="0.25">
      <c r="P25" s="28"/>
      <c r="Q25" s="28"/>
      <c r="R25" s="28"/>
      <c r="S25" s="28"/>
    </row>
    <row r="26" spans="2:19" x14ac:dyDescent="0.25">
      <c r="P26" s="28"/>
      <c r="Q26" s="28"/>
      <c r="R26" s="28"/>
      <c r="S26" s="28"/>
    </row>
    <row r="27" spans="2:19" x14ac:dyDescent="0.25">
      <c r="P27" s="28"/>
      <c r="Q27" s="28"/>
      <c r="R27" s="28"/>
      <c r="S27" s="28"/>
    </row>
    <row r="28" spans="2:19" x14ac:dyDescent="0.25">
      <c r="P28" s="28"/>
      <c r="Q28" s="28"/>
      <c r="R28" s="28"/>
      <c r="S28" s="28"/>
    </row>
    <row r="30" spans="2:19" x14ac:dyDescent="0.25">
      <c r="B30" s="4" t="s">
        <v>10</v>
      </c>
    </row>
    <row r="31" spans="2:19" x14ac:dyDescent="0.25">
      <c r="B31" s="3" t="s">
        <v>11</v>
      </c>
    </row>
    <row r="32" spans="2:19" x14ac:dyDescent="0.25">
      <c r="B32">
        <f>SUM(C8:E8)</f>
        <v>1</v>
      </c>
      <c r="C32" t="s">
        <v>12</v>
      </c>
      <c r="D32">
        <v>1</v>
      </c>
    </row>
    <row r="34" spans="2:4" x14ac:dyDescent="0.25">
      <c r="B34" s="3" t="s">
        <v>21</v>
      </c>
    </row>
    <row r="35" spans="2:4" x14ac:dyDescent="0.25">
      <c r="B35">
        <f>H6-H5</f>
        <v>5869.4710800599896</v>
      </c>
      <c r="C35" t="s">
        <v>20</v>
      </c>
      <c r="D35">
        <v>0</v>
      </c>
    </row>
    <row r="37" spans="2:4" x14ac:dyDescent="0.25">
      <c r="B37" s="3" t="s">
        <v>3</v>
      </c>
    </row>
    <row r="38" spans="2:4" x14ac:dyDescent="0.25">
      <c r="B38">
        <f>SUMPRODUCT(C9:E9,C11:E11)</f>
        <v>29999.200000000001</v>
      </c>
      <c r="C38" t="s">
        <v>12</v>
      </c>
      <c r="D38">
        <f>VLOOKUP(C5,B15:C17,2,FALSE)</f>
        <v>30000</v>
      </c>
    </row>
  </sheetData>
  <mergeCells count="1">
    <mergeCell ref="B19:E24"/>
  </mergeCells>
  <pageMargins left="0.7" right="0.7" top="0.75" bottom="0.75" header="0.3" footer="0.3"/>
  <pageSetup paperSize="9" orientation="portrait" horizontalDpi="0" verticalDpi="0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44899-B2E2-47A5-9FBD-5AA1899BF692}">
  <sheetPr codeName="Sheet2"/>
  <dimension ref="A1:B10"/>
  <sheetViews>
    <sheetView workbookViewId="0"/>
  </sheetViews>
  <sheetFormatPr defaultRowHeight="15" x14ac:dyDescent="0.25"/>
  <cols>
    <col min="1" max="1" width="9.7109375" bestFit="1" customWidth="1"/>
    <col min="2" max="2" width="14.5703125" bestFit="1" customWidth="1"/>
  </cols>
  <sheetData>
    <row r="1" spans="1:2" x14ac:dyDescent="0.25">
      <c r="A1" t="s">
        <v>7</v>
      </c>
      <c r="B1" t="s">
        <v>9</v>
      </c>
    </row>
    <row r="2" spans="1:2" x14ac:dyDescent="0.25">
      <c r="A2" s="2">
        <v>43471</v>
      </c>
      <c r="B2">
        <v>23.661711107597501</v>
      </c>
    </row>
    <row r="3" spans="1:2" x14ac:dyDescent="0.25">
      <c r="A3" s="2">
        <v>43478</v>
      </c>
      <c r="B3">
        <v>25.174822795183001</v>
      </c>
    </row>
    <row r="4" spans="1:2" x14ac:dyDescent="0.25">
      <c r="A4" s="2">
        <v>43485</v>
      </c>
      <c r="B4">
        <v>25.6177127233879</v>
      </c>
    </row>
    <row r="5" spans="1:2" x14ac:dyDescent="0.25">
      <c r="A5" s="2">
        <v>43492</v>
      </c>
      <c r="B5">
        <v>25.1274733265317</v>
      </c>
    </row>
    <row r="6" spans="1:2" x14ac:dyDescent="0.25">
      <c r="A6" s="2">
        <v>43499</v>
      </c>
      <c r="B6">
        <v>24.553007195505199</v>
      </c>
    </row>
    <row r="7" spans="1:2" x14ac:dyDescent="0.25">
      <c r="A7" s="2">
        <v>43506</v>
      </c>
      <c r="B7">
        <v>24.528107174360201</v>
      </c>
    </row>
    <row r="8" spans="1:2" x14ac:dyDescent="0.25">
      <c r="A8" s="2">
        <v>43513</v>
      </c>
      <c r="B8">
        <v>24.706269810951799</v>
      </c>
    </row>
    <row r="9" spans="1:2" x14ac:dyDescent="0.25">
      <c r="A9" s="2">
        <v>43520</v>
      </c>
      <c r="B9">
        <v>24.743462504276099</v>
      </c>
    </row>
    <row r="10" spans="1:2" x14ac:dyDescent="0.25">
      <c r="A10" s="2">
        <v>43527</v>
      </c>
      <c r="B10">
        <v>24.008201041407698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8ED07-93AF-454E-AA67-57FF6D8ADD1D}">
  <sheetPr codeName="Sheet3"/>
  <dimension ref="B1:L26"/>
  <sheetViews>
    <sheetView showGridLines="0" tabSelected="1" workbookViewId="0"/>
  </sheetViews>
  <sheetFormatPr defaultRowHeight="15" x14ac:dyDescent="0.25"/>
  <cols>
    <col min="1" max="1" width="5.42578125" customWidth="1"/>
    <col min="2" max="2" width="44.28515625" customWidth="1"/>
    <col min="3" max="3" width="16" bestFit="1" customWidth="1"/>
    <col min="4" max="4" width="12" bestFit="1" customWidth="1"/>
    <col min="5" max="5" width="13.28515625" customWidth="1"/>
    <col min="6" max="6" width="32.5703125" bestFit="1" customWidth="1"/>
    <col min="7" max="7" width="14.5703125" bestFit="1" customWidth="1"/>
    <col min="8" max="8" width="11.5703125" bestFit="1" customWidth="1"/>
    <col min="9" max="9" width="10.85546875" bestFit="1" customWidth="1"/>
  </cols>
  <sheetData>
    <row r="1" spans="2:12" x14ac:dyDescent="0.25">
      <c r="J1" s="28"/>
      <c r="K1" s="28"/>
      <c r="L1" s="28"/>
    </row>
    <row r="2" spans="2:12" x14ac:dyDescent="0.25">
      <c r="B2" s="6" t="s">
        <v>30</v>
      </c>
      <c r="J2" s="28"/>
      <c r="K2" s="28"/>
      <c r="L2" s="28"/>
    </row>
    <row r="3" spans="2:12" x14ac:dyDescent="0.25">
      <c r="B3" s="19" t="s">
        <v>13</v>
      </c>
      <c r="C3" s="12">
        <v>41728</v>
      </c>
      <c r="J3" s="28"/>
      <c r="K3" s="28"/>
      <c r="L3" s="28"/>
    </row>
    <row r="4" spans="2:12" x14ac:dyDescent="0.25">
      <c r="B4" s="19" t="s">
        <v>23</v>
      </c>
      <c r="C4" s="12">
        <v>43506</v>
      </c>
      <c r="J4" s="28"/>
      <c r="K4" s="28"/>
      <c r="L4" s="28"/>
    </row>
    <row r="5" spans="2:12" x14ac:dyDescent="0.25">
      <c r="J5" s="28"/>
      <c r="K5" s="28"/>
      <c r="L5" s="28"/>
    </row>
    <row r="6" spans="2:12" x14ac:dyDescent="0.25">
      <c r="C6" s="7" t="s">
        <v>0</v>
      </c>
      <c r="D6" s="8" t="s">
        <v>1</v>
      </c>
      <c r="E6" s="9" t="s">
        <v>2</v>
      </c>
      <c r="J6" s="28"/>
      <c r="K6" s="28"/>
      <c r="L6" s="28"/>
    </row>
    <row r="7" spans="2:12" x14ac:dyDescent="0.25">
      <c r="B7" s="19" t="s">
        <v>26</v>
      </c>
      <c r="C7" s="19">
        <f>C8/SUM($C$8:$E$8)</f>
        <v>7.9365079365079361E-3</v>
      </c>
      <c r="D7" s="19">
        <f>D8/SUM($C$8:$E$8)</f>
        <v>0.59523809523809523</v>
      </c>
      <c r="E7" s="19">
        <f>E8/SUM($C$8:$E$8)</f>
        <v>0.3968253968253968</v>
      </c>
      <c r="J7" s="28"/>
      <c r="K7" s="28"/>
      <c r="L7" s="28"/>
    </row>
    <row r="8" spans="2:12" x14ac:dyDescent="0.25">
      <c r="B8" s="19" t="s">
        <v>25</v>
      </c>
      <c r="C8" s="15">
        <v>200</v>
      </c>
      <c r="D8" s="15">
        <v>15000</v>
      </c>
      <c r="E8" s="15">
        <v>10000</v>
      </c>
      <c r="J8" s="28"/>
      <c r="K8" s="28"/>
      <c r="L8" s="28"/>
    </row>
    <row r="9" spans="2:12" hidden="1" x14ac:dyDescent="0.25">
      <c r="B9" s="19" t="s">
        <v>35</v>
      </c>
      <c r="C9" s="25">
        <f>VLOOKUP($C$4,'UOB - Actual and Prediction'!$A$1:$D$272,4,FALSE)</f>
        <v>25.495000999999998</v>
      </c>
      <c r="D9" s="25">
        <f>VLOOKUP($C$4,'CMT - Actual and Prediction'!$A$1:$D$272,4,FALSE)</f>
        <v>2.375</v>
      </c>
      <c r="E9" s="25">
        <f>VLOOKUP($C$4,'GAR - Actual and Prediction'!$A$1:$D$272,4,FALSE)</f>
        <v>0.2525</v>
      </c>
      <c r="J9" s="28"/>
      <c r="K9" s="28"/>
      <c r="L9" s="28"/>
    </row>
    <row r="10" spans="2:12" x14ac:dyDescent="0.25">
      <c r="B10" s="19" t="s">
        <v>24</v>
      </c>
      <c r="C10" s="25">
        <f>VLOOKUP($C$4,'UOB - Actual and Prediction'!$A$1:$D$272,2,FALSE)</f>
        <v>24.528107174360201</v>
      </c>
      <c r="D10" s="25">
        <f>VLOOKUP($C$4,'CMT - Actual and Prediction'!$A$1:$D$272,2,FALSE)</f>
        <v>2.3605768646299801</v>
      </c>
      <c r="E10" s="25">
        <f>VLOOKUP($C$4,'GAR - Actual and Prediction'!$A$1:$D$272,2,FALSE)</f>
        <v>0.25676754310727101</v>
      </c>
      <c r="J10" s="28"/>
      <c r="K10" s="28"/>
      <c r="L10" s="28"/>
    </row>
    <row r="11" spans="2:12" x14ac:dyDescent="0.25">
      <c r="B11" s="19" t="s">
        <v>14</v>
      </c>
      <c r="C11" s="25">
        <f>VLOOKUP($C$3,'UOB - Actual and Prediction'!$A$1:$D$272,4,FALSE)</f>
        <v>21.685000500000001</v>
      </c>
      <c r="D11" s="25">
        <f>VLOOKUP($C$3,'CMT - Actual and Prediction'!$A$1:$D$272,4,FALSE)</f>
        <v>1.925</v>
      </c>
      <c r="E11" s="25">
        <f>VLOOKUP($C$3,'GAR - Actual and Prediction'!$A$1:$D$272,4,FALSE)</f>
        <v>0.57999999999999996</v>
      </c>
      <c r="J11" s="28"/>
      <c r="K11" s="28"/>
      <c r="L11" s="28"/>
    </row>
    <row r="12" spans="2:12" x14ac:dyDescent="0.25">
      <c r="B12" s="19" t="s">
        <v>34</v>
      </c>
      <c r="C12" s="25">
        <f>VLOOKUP($C$3,'UOB - Actual and Prediction'!$A$1:$D$272,2,FALSE)</f>
        <v>21.721920978956401</v>
      </c>
      <c r="D12" s="25">
        <f>VLOOKUP($C$3,'CMT - Actual and Prediction'!$A$1:$D$272,2,FALSE)</f>
        <v>1.9045306499302299</v>
      </c>
      <c r="E12" s="25">
        <f>VLOOKUP($C$3,'GAR - Actual and Prediction'!$A$1:$D$272,2,FALSE)</f>
        <v>0.58586002707481299</v>
      </c>
      <c r="J12" s="28"/>
      <c r="K12" s="28"/>
      <c r="L12" s="28"/>
    </row>
    <row r="13" spans="2:12" hidden="1" x14ac:dyDescent="0.25">
      <c r="B13" s="19" t="s">
        <v>36</v>
      </c>
      <c r="C13" s="29">
        <f>(C10-C12)*C8</f>
        <v>561.23723908075999</v>
      </c>
      <c r="D13" s="29">
        <f t="shared" ref="D13:E13" si="0">(D10-D12)*D8</f>
        <v>6840.6932204962523</v>
      </c>
      <c r="E13" s="29">
        <f t="shared" si="0"/>
        <v>-3290.9248396754197</v>
      </c>
      <c r="J13" s="28"/>
      <c r="K13" s="28"/>
      <c r="L13" s="28"/>
    </row>
    <row r="14" spans="2:12" hidden="1" x14ac:dyDescent="0.25">
      <c r="B14" s="19" t="s">
        <v>22</v>
      </c>
      <c r="C14" s="29">
        <f>(C9-C11)*C8</f>
        <v>762.00009999999952</v>
      </c>
      <c r="D14" s="29">
        <f t="shared" ref="D14:E14" si="1">(D9-D11)*D8</f>
        <v>6749.9999999999991</v>
      </c>
      <c r="E14" s="29">
        <f t="shared" si="1"/>
        <v>-3274.9999999999995</v>
      </c>
      <c r="J14" s="28"/>
      <c r="K14" s="28"/>
      <c r="L14" s="28"/>
    </row>
    <row r="15" spans="2:12" x14ac:dyDescent="0.25">
      <c r="B15" s="20" t="s">
        <v>22</v>
      </c>
      <c r="C15" s="26">
        <f>(C10-C11)/C10</f>
        <v>0.11591219225151485</v>
      </c>
      <c r="D15" s="26">
        <f t="shared" ref="D15:E15" si="2">(D10-D11)/D10</f>
        <v>0.18452136473779115</v>
      </c>
      <c r="E15" s="26">
        <f t="shared" si="2"/>
        <v>-1.2588524740359828</v>
      </c>
      <c r="J15" s="28"/>
      <c r="K15" s="28"/>
      <c r="L15" s="28"/>
    </row>
    <row r="16" spans="2:12" x14ac:dyDescent="0.25">
      <c r="C16" s="1"/>
      <c r="J16" s="28"/>
      <c r="K16" s="28"/>
      <c r="L16" s="28"/>
    </row>
    <row r="17" spans="2:12" x14ac:dyDescent="0.25">
      <c r="B17" s="19" t="s">
        <v>28</v>
      </c>
      <c r="C17" s="27">
        <f>SUMPRODUCT(C8:E8,C11:E11)</f>
        <v>39012.000099999997</v>
      </c>
      <c r="J17" s="28"/>
      <c r="K17" s="28"/>
      <c r="L17" s="28"/>
    </row>
    <row r="18" spans="2:12" x14ac:dyDescent="0.25">
      <c r="B18" s="19" t="s">
        <v>27</v>
      </c>
      <c r="C18" s="27">
        <f>SUMPRODUCT(C8:E8,C10:E10)</f>
        <v>42881.949835394451</v>
      </c>
      <c r="J18" s="28"/>
      <c r="K18" s="28"/>
      <c r="L18" s="28"/>
    </row>
    <row r="19" spans="2:12" ht="18.75" x14ac:dyDescent="0.3">
      <c r="B19" s="14" t="s">
        <v>29</v>
      </c>
      <c r="C19" s="14">
        <f>C18-C17</f>
        <v>3869.9497353944535</v>
      </c>
      <c r="J19" s="28"/>
      <c r="K19" s="28"/>
      <c r="L19" s="28"/>
    </row>
    <row r="20" spans="2:12" x14ac:dyDescent="0.25">
      <c r="J20" s="28"/>
      <c r="K20" s="28"/>
      <c r="L20" s="28"/>
    </row>
    <row r="21" spans="2:12" x14ac:dyDescent="0.25">
      <c r="J21" s="28"/>
      <c r="K21" s="28"/>
      <c r="L21" s="28"/>
    </row>
    <row r="22" spans="2:12" x14ac:dyDescent="0.25">
      <c r="J22" s="28"/>
      <c r="K22" s="28"/>
      <c r="L22" s="28"/>
    </row>
    <row r="23" spans="2:12" x14ac:dyDescent="0.25">
      <c r="J23" s="28"/>
      <c r="K23" s="28"/>
      <c r="L23" s="28"/>
    </row>
    <row r="24" spans="2:12" x14ac:dyDescent="0.25">
      <c r="J24" s="28"/>
      <c r="K24" s="28"/>
      <c r="L24" s="28"/>
    </row>
    <row r="25" spans="2:12" x14ac:dyDescent="0.25">
      <c r="B25" s="3"/>
      <c r="J25" s="28"/>
      <c r="K25" s="28"/>
      <c r="L25" s="28"/>
    </row>
    <row r="26" spans="2:12" x14ac:dyDescent="0.25">
      <c r="J26" s="28"/>
      <c r="K26" s="28"/>
      <c r="L26" s="28"/>
    </row>
  </sheetData>
  <pageMargins left="0.7" right="0.7" top="0.75" bottom="0.75" header="0.3" footer="0.3"/>
  <drawing r:id="rId1"/>
  <picture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8674F-6CAC-473F-85EE-B3A946C8D70A}">
  <sheetPr codeName="Sheet4"/>
  <dimension ref="A1:D272"/>
  <sheetViews>
    <sheetView topLeftCell="A253" workbookViewId="0"/>
  </sheetViews>
  <sheetFormatPr defaultRowHeight="15" x14ac:dyDescent="0.25"/>
  <cols>
    <col min="1" max="1" width="10.7109375" bestFit="1" customWidth="1"/>
  </cols>
  <sheetData>
    <row r="1" spans="1:4" x14ac:dyDescent="0.25">
      <c r="A1" t="s">
        <v>7</v>
      </c>
      <c r="B1" t="s">
        <v>15</v>
      </c>
      <c r="C1" t="s">
        <v>16</v>
      </c>
      <c r="D1" t="s">
        <v>17</v>
      </c>
    </row>
    <row r="2" spans="1:4" x14ac:dyDescent="0.25">
      <c r="A2" s="2">
        <v>41637</v>
      </c>
      <c r="B2" t="s">
        <v>8</v>
      </c>
      <c r="C2" t="s">
        <v>8</v>
      </c>
      <c r="D2">
        <v>21.085000000000001</v>
      </c>
    </row>
    <row r="3" spans="1:4" x14ac:dyDescent="0.25">
      <c r="A3" s="2">
        <v>41644</v>
      </c>
      <c r="B3">
        <v>21.018860564395201</v>
      </c>
      <c r="C3" t="s">
        <v>18</v>
      </c>
      <c r="D3">
        <v>20.945001000000001</v>
      </c>
    </row>
    <row r="4" spans="1:4" x14ac:dyDescent="0.25">
      <c r="A4" s="2">
        <v>41651</v>
      </c>
      <c r="B4">
        <v>21.097447900020001</v>
      </c>
      <c r="C4" t="s">
        <v>18</v>
      </c>
      <c r="D4">
        <v>20.725000000000001</v>
      </c>
    </row>
    <row r="5" spans="1:4" x14ac:dyDescent="0.25">
      <c r="A5" s="2">
        <v>41658</v>
      </c>
      <c r="B5">
        <v>20.760705811917902</v>
      </c>
      <c r="C5" t="s">
        <v>18</v>
      </c>
      <c r="D5">
        <v>20.285001000000001</v>
      </c>
    </row>
    <row r="6" spans="1:4" x14ac:dyDescent="0.25">
      <c r="A6" s="2">
        <v>41665</v>
      </c>
      <c r="B6">
        <v>20.407323029545701</v>
      </c>
      <c r="C6" t="s">
        <v>18</v>
      </c>
      <c r="D6">
        <v>20.12</v>
      </c>
    </row>
    <row r="7" spans="1:4" x14ac:dyDescent="0.25">
      <c r="A7" s="2">
        <v>41672</v>
      </c>
      <c r="B7">
        <v>20.2336109290815</v>
      </c>
      <c r="C7" t="s">
        <v>18</v>
      </c>
      <c r="D7">
        <v>19.695</v>
      </c>
    </row>
    <row r="8" spans="1:4" x14ac:dyDescent="0.25">
      <c r="A8" s="2">
        <v>41679</v>
      </c>
      <c r="B8">
        <v>19.937221069485599</v>
      </c>
      <c r="C8" t="s">
        <v>18</v>
      </c>
      <c r="D8">
        <v>19.784999499999898</v>
      </c>
    </row>
    <row r="9" spans="1:4" x14ac:dyDescent="0.25">
      <c r="A9" s="2">
        <v>41686</v>
      </c>
      <c r="B9">
        <v>20.080491382675099</v>
      </c>
      <c r="C9" t="s">
        <v>18</v>
      </c>
      <c r="D9">
        <v>20.494999499999999</v>
      </c>
    </row>
    <row r="10" spans="1:4" x14ac:dyDescent="0.25">
      <c r="A10" s="2">
        <v>41693</v>
      </c>
      <c r="B10">
        <v>20.943771848842999</v>
      </c>
      <c r="C10" t="s">
        <v>18</v>
      </c>
      <c r="D10">
        <v>20.76</v>
      </c>
    </row>
    <row r="11" spans="1:4" x14ac:dyDescent="0.25">
      <c r="A11" s="2">
        <v>41700</v>
      </c>
      <c r="B11">
        <v>20.831296301662601</v>
      </c>
      <c r="C11" t="s">
        <v>18</v>
      </c>
      <c r="D11">
        <v>20.554999500000001</v>
      </c>
    </row>
    <row r="12" spans="1:4" x14ac:dyDescent="0.25">
      <c r="A12" s="2">
        <v>41707</v>
      </c>
      <c r="B12">
        <v>20.704658046029301</v>
      </c>
      <c r="C12" t="s">
        <v>18</v>
      </c>
      <c r="D12">
        <v>20.254999999999999</v>
      </c>
    </row>
    <row r="13" spans="1:4" x14ac:dyDescent="0.25">
      <c r="A13" s="2">
        <v>41714</v>
      </c>
      <c r="B13">
        <v>20.1177426554489</v>
      </c>
      <c r="C13" t="s">
        <v>18</v>
      </c>
      <c r="D13">
        <v>20.224999499999999</v>
      </c>
    </row>
    <row r="14" spans="1:4" x14ac:dyDescent="0.25">
      <c r="A14" s="2">
        <v>41721</v>
      </c>
      <c r="B14">
        <v>20.607653481674699</v>
      </c>
      <c r="C14" t="s">
        <v>18</v>
      </c>
      <c r="D14">
        <v>21.030000999999999</v>
      </c>
    </row>
    <row r="15" spans="1:4" x14ac:dyDescent="0.25">
      <c r="A15" s="2">
        <v>41728</v>
      </c>
      <c r="B15">
        <v>21.721920978956401</v>
      </c>
      <c r="C15" t="s">
        <v>18</v>
      </c>
      <c r="D15">
        <v>21.685000500000001</v>
      </c>
    </row>
    <row r="16" spans="1:4" x14ac:dyDescent="0.25">
      <c r="A16" s="2">
        <v>41735</v>
      </c>
      <c r="B16">
        <v>22.055346944501899</v>
      </c>
      <c r="C16" t="s">
        <v>18</v>
      </c>
      <c r="D16">
        <v>21.71</v>
      </c>
    </row>
    <row r="17" spans="1:4" x14ac:dyDescent="0.25">
      <c r="A17" s="2">
        <v>41742</v>
      </c>
      <c r="B17">
        <v>21.945078640939201</v>
      </c>
      <c r="C17" t="s">
        <v>18</v>
      </c>
      <c r="D17">
        <v>22.04</v>
      </c>
    </row>
    <row r="18" spans="1:4" x14ac:dyDescent="0.25">
      <c r="A18" s="2">
        <v>41749</v>
      </c>
      <c r="B18">
        <v>22.441263476413798</v>
      </c>
      <c r="C18" t="s">
        <v>18</v>
      </c>
      <c r="D18">
        <v>22.244999499999999</v>
      </c>
    </row>
    <row r="19" spans="1:4" x14ac:dyDescent="0.25">
      <c r="A19" s="2">
        <v>41756</v>
      </c>
      <c r="B19">
        <v>22.645724906262799</v>
      </c>
      <c r="C19" t="s">
        <v>18</v>
      </c>
      <c r="D19">
        <v>21.8150005</v>
      </c>
    </row>
    <row r="20" spans="1:4" x14ac:dyDescent="0.25">
      <c r="A20" s="2">
        <v>41763</v>
      </c>
      <c r="B20">
        <v>22.046933283307901</v>
      </c>
      <c r="C20" t="s">
        <v>18</v>
      </c>
      <c r="D20">
        <v>21.930000499999998</v>
      </c>
    </row>
    <row r="21" spans="1:4" x14ac:dyDescent="0.25">
      <c r="A21" s="2">
        <v>41770</v>
      </c>
      <c r="B21">
        <v>22.559419728161899</v>
      </c>
      <c r="C21" t="s">
        <v>18</v>
      </c>
      <c r="D21">
        <v>22.3999995</v>
      </c>
    </row>
    <row r="22" spans="1:4" x14ac:dyDescent="0.25">
      <c r="A22" s="2">
        <v>41777</v>
      </c>
      <c r="B22">
        <v>22.8192777907873</v>
      </c>
      <c r="C22" t="s">
        <v>18</v>
      </c>
      <c r="D22">
        <v>22.514999499999998</v>
      </c>
    </row>
    <row r="23" spans="1:4" x14ac:dyDescent="0.25">
      <c r="A23" s="2">
        <v>41784</v>
      </c>
      <c r="B23">
        <v>22.662031021753702</v>
      </c>
      <c r="C23" t="s">
        <v>18</v>
      </c>
      <c r="D23">
        <v>22.390000499999999</v>
      </c>
    </row>
    <row r="24" spans="1:4" x14ac:dyDescent="0.25">
      <c r="A24" s="2">
        <v>41791</v>
      </c>
      <c r="B24">
        <v>22.781165850716501</v>
      </c>
      <c r="C24" t="s">
        <v>18</v>
      </c>
      <c r="D24">
        <v>22.495000000000001</v>
      </c>
    </row>
    <row r="25" spans="1:4" x14ac:dyDescent="0.25">
      <c r="A25" s="2">
        <v>41798</v>
      </c>
      <c r="B25">
        <v>22.745313350055</v>
      </c>
      <c r="C25" t="s">
        <v>18</v>
      </c>
      <c r="D25">
        <v>22.599999499999999</v>
      </c>
    </row>
    <row r="26" spans="1:4" x14ac:dyDescent="0.25">
      <c r="A26" s="2">
        <v>41805</v>
      </c>
      <c r="B26">
        <v>22.748936639212399</v>
      </c>
      <c r="C26" t="s">
        <v>18</v>
      </c>
      <c r="D26">
        <v>22.504999999999999</v>
      </c>
    </row>
    <row r="27" spans="1:4" x14ac:dyDescent="0.25">
      <c r="A27" s="2">
        <v>41812</v>
      </c>
      <c r="B27">
        <v>22.617353301714299</v>
      </c>
      <c r="C27" t="s">
        <v>18</v>
      </c>
      <c r="D27">
        <v>22.549999</v>
      </c>
    </row>
    <row r="28" spans="1:4" x14ac:dyDescent="0.25">
      <c r="A28" s="2">
        <v>41819</v>
      </c>
      <c r="B28">
        <v>22.808357980579199</v>
      </c>
      <c r="C28" t="s">
        <v>18</v>
      </c>
      <c r="D28">
        <v>22.92</v>
      </c>
    </row>
    <row r="29" spans="1:4" x14ac:dyDescent="0.25">
      <c r="A29" s="2">
        <v>41826</v>
      </c>
      <c r="B29">
        <v>23.431728188725401</v>
      </c>
      <c r="C29" t="s">
        <v>18</v>
      </c>
      <c r="D29">
        <v>23.664999999999999</v>
      </c>
    </row>
    <row r="30" spans="1:4" x14ac:dyDescent="0.25">
      <c r="A30" s="2">
        <v>41833</v>
      </c>
      <c r="B30">
        <v>24.058206111771199</v>
      </c>
      <c r="C30" t="s">
        <v>18</v>
      </c>
      <c r="D30">
        <v>23.780000999999999</v>
      </c>
    </row>
    <row r="31" spans="1:4" x14ac:dyDescent="0.25">
      <c r="A31" s="2">
        <v>41840</v>
      </c>
      <c r="B31">
        <v>23.870089474870198</v>
      </c>
      <c r="C31" t="s">
        <v>18</v>
      </c>
      <c r="D31">
        <v>23.81</v>
      </c>
    </row>
    <row r="32" spans="1:4" x14ac:dyDescent="0.25">
      <c r="A32" s="2">
        <v>41847</v>
      </c>
      <c r="B32">
        <v>23.929974945721799</v>
      </c>
      <c r="C32" t="s">
        <v>18</v>
      </c>
      <c r="D32">
        <v>23.695</v>
      </c>
    </row>
    <row r="33" spans="1:4" x14ac:dyDescent="0.25">
      <c r="A33" s="2">
        <v>41854</v>
      </c>
      <c r="B33">
        <v>23.7812942946547</v>
      </c>
      <c r="C33" t="s">
        <v>18</v>
      </c>
      <c r="D33">
        <v>22.895000499999998</v>
      </c>
    </row>
    <row r="34" spans="1:4" x14ac:dyDescent="0.25">
      <c r="A34" s="2">
        <v>41861</v>
      </c>
      <c r="B34">
        <v>23.044633684164801</v>
      </c>
      <c r="C34" t="s">
        <v>18</v>
      </c>
      <c r="D34">
        <v>22.84</v>
      </c>
    </row>
    <row r="35" spans="1:4" x14ac:dyDescent="0.25">
      <c r="A35" s="2">
        <v>41868</v>
      </c>
      <c r="B35">
        <v>23.086804879680901</v>
      </c>
      <c r="C35" t="s">
        <v>18</v>
      </c>
      <c r="D35">
        <v>22.845000500000001</v>
      </c>
    </row>
    <row r="36" spans="1:4" x14ac:dyDescent="0.25">
      <c r="A36" s="2">
        <v>41875</v>
      </c>
      <c r="B36">
        <v>23.0487744251264</v>
      </c>
      <c r="C36" t="s">
        <v>18</v>
      </c>
      <c r="D36">
        <v>23.144999500000001</v>
      </c>
    </row>
    <row r="37" spans="1:4" x14ac:dyDescent="0.25">
      <c r="A37" s="2">
        <v>41882</v>
      </c>
      <c r="B37">
        <v>23.185299840414999</v>
      </c>
      <c r="C37" t="s">
        <v>18</v>
      </c>
      <c r="D37">
        <v>22.925000000000001</v>
      </c>
    </row>
    <row r="38" spans="1:4" x14ac:dyDescent="0.25">
      <c r="A38" s="2">
        <v>41889</v>
      </c>
      <c r="B38">
        <v>22.967275014943102</v>
      </c>
      <c r="C38" t="s">
        <v>18</v>
      </c>
      <c r="D38">
        <v>22.96</v>
      </c>
    </row>
    <row r="39" spans="1:4" x14ac:dyDescent="0.25">
      <c r="A39" s="2">
        <v>41896</v>
      </c>
      <c r="B39">
        <v>23.132125847137299</v>
      </c>
      <c r="C39" t="s">
        <v>18</v>
      </c>
      <c r="D39">
        <v>22.7950005</v>
      </c>
    </row>
    <row r="40" spans="1:4" x14ac:dyDescent="0.25">
      <c r="A40" s="2">
        <v>41903</v>
      </c>
      <c r="B40">
        <v>22.7866580496196</v>
      </c>
      <c r="C40" t="s">
        <v>18</v>
      </c>
      <c r="D40">
        <v>22.664999999999999</v>
      </c>
    </row>
    <row r="41" spans="1:4" x14ac:dyDescent="0.25">
      <c r="A41" s="2">
        <v>41910</v>
      </c>
      <c r="B41">
        <v>22.888786438262098</v>
      </c>
      <c r="C41" t="s">
        <v>18</v>
      </c>
      <c r="D41">
        <v>22.360000500000002</v>
      </c>
    </row>
    <row r="42" spans="1:4" x14ac:dyDescent="0.25">
      <c r="A42" s="2">
        <v>41917</v>
      </c>
      <c r="B42">
        <v>22.428699311016601</v>
      </c>
      <c r="C42" t="s">
        <v>18</v>
      </c>
      <c r="D42">
        <v>22.364999999999998</v>
      </c>
    </row>
    <row r="43" spans="1:4" x14ac:dyDescent="0.25">
      <c r="A43" s="2">
        <v>41924</v>
      </c>
      <c r="B43">
        <v>22.397668725172199</v>
      </c>
      <c r="C43" t="s">
        <v>18</v>
      </c>
      <c r="D43">
        <v>21.954999999999998</v>
      </c>
    </row>
    <row r="44" spans="1:4" x14ac:dyDescent="0.25">
      <c r="A44" s="2">
        <v>41931</v>
      </c>
      <c r="B44">
        <v>22.258535773360698</v>
      </c>
      <c r="C44" t="s">
        <v>18</v>
      </c>
      <c r="D44">
        <v>22.0599995</v>
      </c>
    </row>
    <row r="45" spans="1:4" x14ac:dyDescent="0.25">
      <c r="A45" s="2">
        <v>41938</v>
      </c>
      <c r="B45">
        <v>22.472465670004599</v>
      </c>
      <c r="C45" t="s">
        <v>18</v>
      </c>
      <c r="D45">
        <v>22.265000499999999</v>
      </c>
    </row>
    <row r="46" spans="1:4" x14ac:dyDescent="0.25">
      <c r="A46" s="2">
        <v>41945</v>
      </c>
      <c r="B46">
        <v>23.1357855606961</v>
      </c>
      <c r="C46" t="s">
        <v>18</v>
      </c>
      <c r="D46">
        <v>23.389999499999998</v>
      </c>
    </row>
    <row r="47" spans="1:4" x14ac:dyDescent="0.25">
      <c r="A47" s="2">
        <v>41952</v>
      </c>
      <c r="B47">
        <v>23.474435611510302</v>
      </c>
      <c r="C47" t="s">
        <v>18</v>
      </c>
      <c r="D47">
        <v>23.17</v>
      </c>
    </row>
    <row r="48" spans="1:4" x14ac:dyDescent="0.25">
      <c r="A48" s="2">
        <v>41959</v>
      </c>
      <c r="B48">
        <v>23.290300124121899</v>
      </c>
      <c r="C48" t="s">
        <v>18</v>
      </c>
      <c r="D48">
        <v>23.334999</v>
      </c>
    </row>
    <row r="49" spans="1:4" x14ac:dyDescent="0.25">
      <c r="A49" s="2">
        <v>41966</v>
      </c>
      <c r="B49">
        <v>23.592549806217701</v>
      </c>
      <c r="C49" t="s">
        <v>18</v>
      </c>
      <c r="D49">
        <v>23.87</v>
      </c>
    </row>
    <row r="50" spans="1:4" x14ac:dyDescent="0.25">
      <c r="A50" s="2">
        <v>41973</v>
      </c>
      <c r="B50">
        <v>23.936230179506001</v>
      </c>
      <c r="C50" t="s">
        <v>18</v>
      </c>
      <c r="D50">
        <v>24.060000500000001</v>
      </c>
    </row>
    <row r="51" spans="1:4" x14ac:dyDescent="0.25">
      <c r="A51" s="2">
        <v>41980</v>
      </c>
      <c r="B51">
        <v>24.071176953731499</v>
      </c>
      <c r="C51" t="s">
        <v>18</v>
      </c>
      <c r="D51">
        <v>24.439999499999999</v>
      </c>
    </row>
    <row r="52" spans="1:4" x14ac:dyDescent="0.25">
      <c r="A52" s="2">
        <v>41987</v>
      </c>
      <c r="B52">
        <v>24.367211957046599</v>
      </c>
      <c r="C52" t="s">
        <v>18</v>
      </c>
      <c r="D52">
        <v>23.785</v>
      </c>
    </row>
    <row r="53" spans="1:4" x14ac:dyDescent="0.25">
      <c r="A53" s="2">
        <v>41994</v>
      </c>
      <c r="B53">
        <v>23.803595791499902</v>
      </c>
      <c r="C53" t="s">
        <v>18</v>
      </c>
      <c r="D53">
        <v>24.2</v>
      </c>
    </row>
    <row r="54" spans="1:4" x14ac:dyDescent="0.25">
      <c r="A54" s="2">
        <v>42001</v>
      </c>
      <c r="B54">
        <v>24.542676934885399</v>
      </c>
      <c r="C54" t="s">
        <v>18</v>
      </c>
      <c r="D54">
        <v>24.46</v>
      </c>
    </row>
    <row r="55" spans="1:4" x14ac:dyDescent="0.25">
      <c r="A55" s="2">
        <v>42008</v>
      </c>
      <c r="B55">
        <v>24.320346895381899</v>
      </c>
      <c r="C55" t="s">
        <v>18</v>
      </c>
      <c r="D55">
        <v>23.824999500000001</v>
      </c>
    </row>
    <row r="56" spans="1:4" x14ac:dyDescent="0.25">
      <c r="A56" s="2">
        <v>42015</v>
      </c>
      <c r="B56">
        <v>23.762908608705398</v>
      </c>
      <c r="C56" t="s">
        <v>18</v>
      </c>
      <c r="D56">
        <v>23.229999499999899</v>
      </c>
    </row>
    <row r="57" spans="1:4" x14ac:dyDescent="0.25">
      <c r="A57" s="2">
        <v>42022</v>
      </c>
      <c r="B57">
        <v>23.286686973715302</v>
      </c>
      <c r="C57" t="s">
        <v>18</v>
      </c>
      <c r="D57">
        <v>23.349999499999999</v>
      </c>
    </row>
    <row r="58" spans="1:4" x14ac:dyDescent="0.25">
      <c r="A58" s="2">
        <v>42029</v>
      </c>
      <c r="B58">
        <v>23.8588084247233</v>
      </c>
      <c r="C58" t="s">
        <v>18</v>
      </c>
      <c r="D58">
        <v>23.360000500000002</v>
      </c>
    </row>
    <row r="59" spans="1:4" x14ac:dyDescent="0.25">
      <c r="A59" s="2">
        <v>42036</v>
      </c>
      <c r="B59">
        <v>23.452318114218102</v>
      </c>
      <c r="C59" t="s">
        <v>18</v>
      </c>
      <c r="D59">
        <v>23.33</v>
      </c>
    </row>
    <row r="60" spans="1:4" x14ac:dyDescent="0.25">
      <c r="A60" s="2">
        <v>42043</v>
      </c>
      <c r="B60">
        <v>23.720805004861798</v>
      </c>
      <c r="C60" t="s">
        <v>18</v>
      </c>
      <c r="D60">
        <v>23.444999499999899</v>
      </c>
    </row>
    <row r="61" spans="1:4" x14ac:dyDescent="0.25">
      <c r="A61" s="2">
        <v>42050</v>
      </c>
      <c r="B61">
        <v>23.589213030650001</v>
      </c>
      <c r="C61" t="s">
        <v>18</v>
      </c>
      <c r="D61">
        <v>23.189999499999999</v>
      </c>
    </row>
    <row r="62" spans="1:4" x14ac:dyDescent="0.25">
      <c r="A62" s="2">
        <v>42057</v>
      </c>
      <c r="B62">
        <v>23.300299936564802</v>
      </c>
      <c r="C62" t="s">
        <v>18</v>
      </c>
      <c r="D62">
        <v>22.984999999999999</v>
      </c>
    </row>
    <row r="63" spans="1:4" x14ac:dyDescent="0.25">
      <c r="A63" s="2">
        <v>42064</v>
      </c>
      <c r="B63">
        <v>23.058840327204699</v>
      </c>
      <c r="C63" t="s">
        <v>18</v>
      </c>
      <c r="D63">
        <v>23.1350005</v>
      </c>
    </row>
    <row r="64" spans="1:4" x14ac:dyDescent="0.25">
      <c r="A64" s="2">
        <v>42071</v>
      </c>
      <c r="B64">
        <v>23.1413735144687</v>
      </c>
      <c r="C64" t="s">
        <v>18</v>
      </c>
      <c r="D64">
        <v>22.769999500000001</v>
      </c>
    </row>
    <row r="65" spans="1:4" x14ac:dyDescent="0.25">
      <c r="A65" s="2">
        <v>42078</v>
      </c>
      <c r="B65">
        <v>22.792234362604201</v>
      </c>
      <c r="C65" t="s">
        <v>18</v>
      </c>
      <c r="D65">
        <v>22.7250005</v>
      </c>
    </row>
    <row r="66" spans="1:4" x14ac:dyDescent="0.25">
      <c r="A66" s="2">
        <v>42085</v>
      </c>
      <c r="B66">
        <v>23.132105569635598</v>
      </c>
      <c r="C66" t="s">
        <v>18</v>
      </c>
      <c r="D66">
        <v>23.0450005</v>
      </c>
    </row>
    <row r="67" spans="1:4" x14ac:dyDescent="0.25">
      <c r="A67" s="2">
        <v>42092</v>
      </c>
      <c r="B67">
        <v>23.5636063010176</v>
      </c>
      <c r="C67" t="s">
        <v>18</v>
      </c>
      <c r="D67">
        <v>23.140000499999999</v>
      </c>
    </row>
    <row r="68" spans="1:4" x14ac:dyDescent="0.25">
      <c r="A68" s="2">
        <v>42099</v>
      </c>
      <c r="B68">
        <v>23.462407297872598</v>
      </c>
      <c r="C68" t="s">
        <v>18</v>
      </c>
      <c r="D68">
        <v>23.3500005</v>
      </c>
    </row>
    <row r="69" spans="1:4" x14ac:dyDescent="0.25">
      <c r="A69" s="2">
        <v>42106</v>
      </c>
      <c r="B69">
        <v>23.5109523881092</v>
      </c>
      <c r="C69" t="s">
        <v>18</v>
      </c>
      <c r="D69">
        <v>23.700001</v>
      </c>
    </row>
    <row r="70" spans="1:4" x14ac:dyDescent="0.25">
      <c r="A70" s="2">
        <v>42113</v>
      </c>
      <c r="B70">
        <v>24.253672967551601</v>
      </c>
      <c r="C70" t="s">
        <v>18</v>
      </c>
      <c r="D70">
        <v>24.370000999999998</v>
      </c>
    </row>
    <row r="71" spans="1:4" x14ac:dyDescent="0.25">
      <c r="A71" s="2">
        <v>42120</v>
      </c>
      <c r="B71">
        <v>24.740441156513601</v>
      </c>
      <c r="C71" t="s">
        <v>18</v>
      </c>
      <c r="D71">
        <v>24.62</v>
      </c>
    </row>
    <row r="72" spans="1:4" x14ac:dyDescent="0.25">
      <c r="A72" s="2">
        <v>42127</v>
      </c>
      <c r="B72">
        <v>24.6282885473242</v>
      </c>
      <c r="C72" t="s">
        <v>18</v>
      </c>
      <c r="D72">
        <v>24.38</v>
      </c>
    </row>
    <row r="73" spans="1:4" x14ac:dyDescent="0.25">
      <c r="A73" s="2">
        <v>42134</v>
      </c>
      <c r="B73">
        <v>24.3936395499911</v>
      </c>
      <c r="C73" t="s">
        <v>18</v>
      </c>
      <c r="D73">
        <v>24.21</v>
      </c>
    </row>
    <row r="74" spans="1:4" x14ac:dyDescent="0.25">
      <c r="A74" s="2">
        <v>42141</v>
      </c>
      <c r="B74">
        <v>24.258964644492899</v>
      </c>
      <c r="C74" t="s">
        <v>18</v>
      </c>
      <c r="D74">
        <v>24.139999</v>
      </c>
    </row>
    <row r="75" spans="1:4" x14ac:dyDescent="0.25">
      <c r="A75" s="2">
        <v>42148</v>
      </c>
      <c r="B75">
        <v>24.057541460324501</v>
      </c>
      <c r="C75" t="s">
        <v>18</v>
      </c>
      <c r="D75">
        <v>23.594999999999999</v>
      </c>
    </row>
    <row r="76" spans="1:4" x14ac:dyDescent="0.25">
      <c r="A76" s="2">
        <v>42155</v>
      </c>
      <c r="B76">
        <v>23.461350614725198</v>
      </c>
      <c r="C76" t="s">
        <v>18</v>
      </c>
      <c r="D76">
        <v>22.869999499999999</v>
      </c>
    </row>
    <row r="77" spans="1:4" x14ac:dyDescent="0.25">
      <c r="A77" s="2">
        <v>42162</v>
      </c>
      <c r="B77">
        <v>22.978520016197901</v>
      </c>
      <c r="C77" t="s">
        <v>18</v>
      </c>
      <c r="D77">
        <v>23.0100005</v>
      </c>
    </row>
    <row r="78" spans="1:4" x14ac:dyDescent="0.25">
      <c r="A78" s="2">
        <v>42169</v>
      </c>
      <c r="B78">
        <v>23.3557393774005</v>
      </c>
      <c r="C78" t="s">
        <v>18</v>
      </c>
      <c r="D78">
        <v>22.995000000000001</v>
      </c>
    </row>
    <row r="79" spans="1:4" x14ac:dyDescent="0.25">
      <c r="A79" s="2">
        <v>42176</v>
      </c>
      <c r="B79">
        <v>22.998325878289201</v>
      </c>
      <c r="C79" t="s">
        <v>18</v>
      </c>
      <c r="D79">
        <v>23.25</v>
      </c>
    </row>
    <row r="80" spans="1:4" x14ac:dyDescent="0.25">
      <c r="A80" s="2">
        <v>42183</v>
      </c>
      <c r="B80">
        <v>23.345119974625899</v>
      </c>
      <c r="C80" t="s">
        <v>18</v>
      </c>
      <c r="D80">
        <v>23.105</v>
      </c>
    </row>
    <row r="81" spans="1:4" x14ac:dyDescent="0.25">
      <c r="A81" s="2">
        <v>42190</v>
      </c>
      <c r="B81">
        <v>23.4406157426458</v>
      </c>
      <c r="C81" t="s">
        <v>18</v>
      </c>
      <c r="D81">
        <v>23.025000500000001</v>
      </c>
    </row>
    <row r="82" spans="1:4" x14ac:dyDescent="0.25">
      <c r="A82" s="2">
        <v>42197</v>
      </c>
      <c r="B82">
        <v>23.006041467709601</v>
      </c>
      <c r="C82" t="s">
        <v>18</v>
      </c>
      <c r="D82">
        <v>23.035001000000001</v>
      </c>
    </row>
    <row r="83" spans="1:4" x14ac:dyDescent="0.25">
      <c r="A83" s="2">
        <v>42204</v>
      </c>
      <c r="B83">
        <v>23.367906629476199</v>
      </c>
      <c r="C83" t="s">
        <v>18</v>
      </c>
      <c r="D83">
        <v>23.449999500000001</v>
      </c>
    </row>
    <row r="84" spans="1:4" x14ac:dyDescent="0.25">
      <c r="A84" s="2">
        <v>42211</v>
      </c>
      <c r="B84">
        <v>23.3895382177447</v>
      </c>
      <c r="C84" t="s">
        <v>18</v>
      </c>
      <c r="D84">
        <v>22.5799995</v>
      </c>
    </row>
    <row r="85" spans="1:4" x14ac:dyDescent="0.25">
      <c r="A85" s="2">
        <v>42218</v>
      </c>
      <c r="B85">
        <v>22.309074817937201</v>
      </c>
      <c r="C85" t="s">
        <v>18</v>
      </c>
      <c r="D85">
        <v>21.734999500000001</v>
      </c>
    </row>
    <row r="86" spans="1:4" x14ac:dyDescent="0.25">
      <c r="A86" s="2">
        <v>42225</v>
      </c>
      <c r="B86">
        <v>21.594065322198901</v>
      </c>
      <c r="C86" t="s">
        <v>18</v>
      </c>
      <c r="D86">
        <v>20.61</v>
      </c>
    </row>
    <row r="87" spans="1:4" x14ac:dyDescent="0.25">
      <c r="A87" s="2">
        <v>42232</v>
      </c>
      <c r="B87">
        <v>20.546643360493899</v>
      </c>
      <c r="C87" t="s">
        <v>18</v>
      </c>
      <c r="D87">
        <v>19.7</v>
      </c>
    </row>
    <row r="88" spans="1:4" x14ac:dyDescent="0.25">
      <c r="A88" s="2">
        <v>42239</v>
      </c>
      <c r="B88">
        <v>19.101459801773601</v>
      </c>
      <c r="C88" t="s">
        <v>18</v>
      </c>
      <c r="D88">
        <v>19.414999999999999</v>
      </c>
    </row>
    <row r="89" spans="1:4" x14ac:dyDescent="0.25">
      <c r="A89" s="2">
        <v>42246</v>
      </c>
      <c r="B89">
        <v>19.563833780606799</v>
      </c>
      <c r="C89" t="s">
        <v>18</v>
      </c>
      <c r="D89">
        <v>19.6499995</v>
      </c>
    </row>
    <row r="90" spans="1:4" x14ac:dyDescent="0.25">
      <c r="A90" s="2">
        <v>42253</v>
      </c>
      <c r="B90">
        <v>19.385837870140701</v>
      </c>
      <c r="C90" t="s">
        <v>18</v>
      </c>
      <c r="D90">
        <v>19.3649995</v>
      </c>
    </row>
    <row r="91" spans="1:4" x14ac:dyDescent="0.25">
      <c r="A91" s="2">
        <v>42260</v>
      </c>
      <c r="B91">
        <v>19.540219127767799</v>
      </c>
      <c r="C91" t="s">
        <v>18</v>
      </c>
      <c r="D91">
        <v>19.4349995</v>
      </c>
    </row>
    <row r="92" spans="1:4" x14ac:dyDescent="0.25">
      <c r="A92" s="2">
        <v>42267</v>
      </c>
      <c r="B92">
        <v>19.0687405506436</v>
      </c>
      <c r="C92" t="s">
        <v>18</v>
      </c>
      <c r="D92">
        <v>19.04</v>
      </c>
    </row>
    <row r="93" spans="1:4" x14ac:dyDescent="0.25">
      <c r="A93" s="2">
        <v>42274</v>
      </c>
      <c r="B93">
        <v>19.054638674696101</v>
      </c>
      <c r="C93" t="s">
        <v>18</v>
      </c>
      <c r="D93">
        <v>18.525000500000001</v>
      </c>
    </row>
    <row r="94" spans="1:4" x14ac:dyDescent="0.25">
      <c r="A94" s="2">
        <v>42281</v>
      </c>
      <c r="B94">
        <v>18.469142615361701</v>
      </c>
      <c r="C94" t="s">
        <v>18</v>
      </c>
      <c r="D94">
        <v>19.254999999999999</v>
      </c>
    </row>
    <row r="95" spans="1:4" x14ac:dyDescent="0.25">
      <c r="A95" s="2">
        <v>42288</v>
      </c>
      <c r="B95">
        <v>20.114029619570701</v>
      </c>
      <c r="C95" t="s">
        <v>18</v>
      </c>
      <c r="D95">
        <v>19.964998999999999</v>
      </c>
    </row>
    <row r="96" spans="1:4" x14ac:dyDescent="0.25">
      <c r="A96" s="2">
        <v>42295</v>
      </c>
      <c r="B96">
        <v>20.4472888589906</v>
      </c>
      <c r="C96" t="s">
        <v>18</v>
      </c>
      <c r="D96">
        <v>20.215</v>
      </c>
    </row>
    <row r="97" spans="1:4" x14ac:dyDescent="0.25">
      <c r="A97" s="2">
        <v>42302</v>
      </c>
      <c r="B97">
        <v>20.559096375140701</v>
      </c>
      <c r="C97" t="s">
        <v>18</v>
      </c>
      <c r="D97">
        <v>20.299999</v>
      </c>
    </row>
    <row r="98" spans="1:4" x14ac:dyDescent="0.25">
      <c r="A98" s="2">
        <v>42309</v>
      </c>
      <c r="B98">
        <v>20.342197702035101</v>
      </c>
      <c r="C98" t="s">
        <v>18</v>
      </c>
      <c r="D98">
        <v>20.395000499999998</v>
      </c>
    </row>
    <row r="99" spans="1:4" x14ac:dyDescent="0.25">
      <c r="A99" s="2">
        <v>42316</v>
      </c>
      <c r="B99">
        <v>20.427099977421602</v>
      </c>
      <c r="C99" t="s">
        <v>18</v>
      </c>
      <c r="D99">
        <v>20.400000500000001</v>
      </c>
    </row>
    <row r="100" spans="1:4" x14ac:dyDescent="0.25">
      <c r="A100" s="2">
        <v>42323</v>
      </c>
      <c r="B100">
        <v>20.109849074624101</v>
      </c>
      <c r="C100" t="s">
        <v>18</v>
      </c>
      <c r="D100">
        <v>19.79</v>
      </c>
    </row>
    <row r="101" spans="1:4" x14ac:dyDescent="0.25">
      <c r="A101" s="2">
        <v>42330</v>
      </c>
      <c r="B101">
        <v>19.8888607298206</v>
      </c>
      <c r="C101" t="s">
        <v>18</v>
      </c>
      <c r="D101">
        <v>19.545000000000002</v>
      </c>
    </row>
    <row r="102" spans="1:4" x14ac:dyDescent="0.25">
      <c r="A102" s="2">
        <v>42337</v>
      </c>
      <c r="B102">
        <v>19.259134275890698</v>
      </c>
      <c r="C102" t="s">
        <v>18</v>
      </c>
      <c r="D102">
        <v>19.5</v>
      </c>
    </row>
    <row r="103" spans="1:4" x14ac:dyDescent="0.25">
      <c r="A103" s="2">
        <v>42344</v>
      </c>
      <c r="B103">
        <v>19.306160806550899</v>
      </c>
      <c r="C103" t="s">
        <v>18</v>
      </c>
      <c r="D103">
        <v>19.469998999999898</v>
      </c>
    </row>
    <row r="104" spans="1:4" x14ac:dyDescent="0.25">
      <c r="A104" s="2">
        <v>42351</v>
      </c>
      <c r="B104">
        <v>19.151783679525899</v>
      </c>
      <c r="C104" t="s">
        <v>18</v>
      </c>
      <c r="D104">
        <v>19.019999500000001</v>
      </c>
    </row>
    <row r="105" spans="1:4" x14ac:dyDescent="0.25">
      <c r="A105" s="2">
        <v>42358</v>
      </c>
      <c r="B105">
        <v>19.079488753105299</v>
      </c>
      <c r="C105" t="s">
        <v>18</v>
      </c>
      <c r="D105">
        <v>19.329999999999998</v>
      </c>
    </row>
    <row r="106" spans="1:4" x14ac:dyDescent="0.25">
      <c r="A106" s="2">
        <v>42365</v>
      </c>
      <c r="B106">
        <v>19.430579802269101</v>
      </c>
      <c r="C106" t="s">
        <v>18</v>
      </c>
      <c r="D106">
        <v>19.545000000000002</v>
      </c>
    </row>
    <row r="107" spans="1:4" x14ac:dyDescent="0.25">
      <c r="A107" s="2">
        <v>42372</v>
      </c>
      <c r="B107">
        <v>19.375577829758399</v>
      </c>
      <c r="C107" t="s">
        <v>18</v>
      </c>
      <c r="D107">
        <v>18.9750005</v>
      </c>
    </row>
    <row r="108" spans="1:4" x14ac:dyDescent="0.25">
      <c r="A108" s="2">
        <v>42379</v>
      </c>
      <c r="B108">
        <v>18.214050235037</v>
      </c>
      <c r="C108" t="s">
        <v>18</v>
      </c>
      <c r="D108">
        <v>17.949999500000001</v>
      </c>
    </row>
    <row r="109" spans="1:4" x14ac:dyDescent="0.25">
      <c r="A109" s="2">
        <v>42386</v>
      </c>
      <c r="B109">
        <v>17.626745722952801</v>
      </c>
      <c r="C109" t="s">
        <v>18</v>
      </c>
      <c r="D109">
        <v>17.420000000000002</v>
      </c>
    </row>
    <row r="110" spans="1:4" x14ac:dyDescent="0.25">
      <c r="A110" s="2">
        <v>42393</v>
      </c>
      <c r="B110">
        <v>17.5643503479942</v>
      </c>
      <c r="C110" t="s">
        <v>18</v>
      </c>
      <c r="D110">
        <v>17.795000000000002</v>
      </c>
    </row>
    <row r="111" spans="1:4" x14ac:dyDescent="0.25">
      <c r="A111" s="2">
        <v>42400</v>
      </c>
      <c r="B111">
        <v>17.901434525061301</v>
      </c>
      <c r="C111" t="s">
        <v>18</v>
      </c>
      <c r="D111">
        <v>17.68</v>
      </c>
    </row>
    <row r="112" spans="1:4" x14ac:dyDescent="0.25">
      <c r="A112" s="2">
        <v>42407</v>
      </c>
      <c r="B112">
        <v>17.6758708342294</v>
      </c>
      <c r="C112" t="s">
        <v>18</v>
      </c>
      <c r="D112">
        <v>17.504999999999999</v>
      </c>
    </row>
    <row r="113" spans="1:4" x14ac:dyDescent="0.25">
      <c r="A113" s="2">
        <v>42414</v>
      </c>
      <c r="B113">
        <v>17.601010475265301</v>
      </c>
      <c r="C113" t="s">
        <v>18</v>
      </c>
      <c r="D113">
        <v>17.5799995</v>
      </c>
    </row>
    <row r="114" spans="1:4" x14ac:dyDescent="0.25">
      <c r="A114" s="2">
        <v>42421</v>
      </c>
      <c r="B114">
        <v>17.6047083499558</v>
      </c>
      <c r="C114" t="s">
        <v>18</v>
      </c>
      <c r="D114">
        <v>17.074999500000001</v>
      </c>
    </row>
    <row r="115" spans="1:4" x14ac:dyDescent="0.25">
      <c r="A115" s="2">
        <v>42428</v>
      </c>
      <c r="B115">
        <v>17.686574210269299</v>
      </c>
      <c r="C115" t="s">
        <v>18</v>
      </c>
      <c r="D115">
        <v>17.7749995</v>
      </c>
    </row>
    <row r="116" spans="1:4" x14ac:dyDescent="0.25">
      <c r="A116" s="2">
        <v>42435</v>
      </c>
      <c r="B116">
        <v>18.384633216571899</v>
      </c>
      <c r="C116" t="s">
        <v>18</v>
      </c>
      <c r="D116">
        <v>18.375</v>
      </c>
    </row>
    <row r="117" spans="1:4" x14ac:dyDescent="0.25">
      <c r="A117" s="2">
        <v>42442</v>
      </c>
      <c r="B117">
        <v>18.498572968358701</v>
      </c>
      <c r="C117" t="s">
        <v>18</v>
      </c>
      <c r="D117">
        <v>19.085000000000001</v>
      </c>
    </row>
    <row r="118" spans="1:4" x14ac:dyDescent="0.25">
      <c r="A118" s="2">
        <v>42449</v>
      </c>
      <c r="B118">
        <v>19.283763930345501</v>
      </c>
      <c r="C118" t="s">
        <v>18</v>
      </c>
      <c r="D118">
        <v>18.920000000000002</v>
      </c>
    </row>
    <row r="119" spans="1:4" x14ac:dyDescent="0.25">
      <c r="A119" s="2">
        <v>42456</v>
      </c>
      <c r="B119">
        <v>18.7478537791275</v>
      </c>
      <c r="C119" t="s">
        <v>18</v>
      </c>
      <c r="D119">
        <v>18.744999499999999</v>
      </c>
    </row>
    <row r="120" spans="1:4" x14ac:dyDescent="0.25">
      <c r="A120" s="2">
        <v>42463</v>
      </c>
      <c r="B120">
        <v>18.607005313116002</v>
      </c>
      <c r="C120" t="s">
        <v>18</v>
      </c>
      <c r="D120">
        <v>18.625</v>
      </c>
    </row>
    <row r="121" spans="1:4" x14ac:dyDescent="0.25">
      <c r="A121" s="2">
        <v>42470</v>
      </c>
      <c r="B121">
        <v>18.385161745900199</v>
      </c>
      <c r="C121" t="s">
        <v>18</v>
      </c>
      <c r="D121">
        <v>19.055000499999998</v>
      </c>
    </row>
    <row r="122" spans="1:4" x14ac:dyDescent="0.25">
      <c r="A122" s="2">
        <v>42477</v>
      </c>
      <c r="B122">
        <v>19.4702715099308</v>
      </c>
      <c r="C122" t="s">
        <v>18</v>
      </c>
      <c r="D122">
        <v>19.675000000000001</v>
      </c>
    </row>
    <row r="123" spans="1:4" x14ac:dyDescent="0.25">
      <c r="A123" s="2">
        <v>42484</v>
      </c>
      <c r="B123">
        <v>19.656287547853001</v>
      </c>
      <c r="C123" t="s">
        <v>18</v>
      </c>
      <c r="D123">
        <v>19.16</v>
      </c>
    </row>
    <row r="124" spans="1:4" x14ac:dyDescent="0.25">
      <c r="A124" s="2">
        <v>42491</v>
      </c>
      <c r="B124">
        <v>18.576217400151499</v>
      </c>
      <c r="C124" t="s">
        <v>18</v>
      </c>
      <c r="D124">
        <v>18.25</v>
      </c>
    </row>
    <row r="125" spans="1:4" x14ac:dyDescent="0.25">
      <c r="A125" s="2">
        <v>42498</v>
      </c>
      <c r="B125">
        <v>17.801787689574201</v>
      </c>
      <c r="C125" t="s">
        <v>18</v>
      </c>
      <c r="D125">
        <v>17.675000499999999</v>
      </c>
    </row>
    <row r="126" spans="1:4" x14ac:dyDescent="0.25">
      <c r="A126" s="2">
        <v>42505</v>
      </c>
      <c r="B126">
        <v>17.6324184010093</v>
      </c>
      <c r="C126" t="s">
        <v>18</v>
      </c>
      <c r="D126">
        <v>17.795000000000002</v>
      </c>
    </row>
    <row r="127" spans="1:4" x14ac:dyDescent="0.25">
      <c r="A127" s="2">
        <v>42512</v>
      </c>
      <c r="B127">
        <v>17.868160740584401</v>
      </c>
      <c r="C127" t="s">
        <v>18</v>
      </c>
      <c r="D127">
        <v>18.030000999999999</v>
      </c>
    </row>
    <row r="128" spans="1:4" x14ac:dyDescent="0.25">
      <c r="A128" s="2">
        <v>42519</v>
      </c>
      <c r="B128">
        <v>18.109554635818402</v>
      </c>
      <c r="C128" t="s">
        <v>18</v>
      </c>
      <c r="D128">
        <v>18.305000499999998</v>
      </c>
    </row>
    <row r="129" spans="1:4" x14ac:dyDescent="0.25">
      <c r="A129" s="2">
        <v>42526</v>
      </c>
      <c r="B129">
        <v>18.1973013940909</v>
      </c>
      <c r="C129" t="s">
        <v>18</v>
      </c>
      <c r="D129">
        <v>18.810000500000001</v>
      </c>
    </row>
    <row r="130" spans="1:4" x14ac:dyDescent="0.25">
      <c r="A130" s="2">
        <v>42533</v>
      </c>
      <c r="B130">
        <v>18.650012767825199</v>
      </c>
      <c r="C130" t="s">
        <v>18</v>
      </c>
      <c r="D130">
        <v>18.109999500000001</v>
      </c>
    </row>
    <row r="131" spans="1:4" x14ac:dyDescent="0.25">
      <c r="A131" s="2">
        <v>42540</v>
      </c>
      <c r="B131">
        <v>17.889305856565301</v>
      </c>
      <c r="C131" t="s">
        <v>18</v>
      </c>
      <c r="D131">
        <v>18.095000500000001</v>
      </c>
    </row>
    <row r="132" spans="1:4" x14ac:dyDescent="0.25">
      <c r="A132" s="2">
        <v>42547</v>
      </c>
      <c r="B132">
        <v>17.9296229749527</v>
      </c>
      <c r="C132" t="s">
        <v>18</v>
      </c>
      <c r="D132">
        <v>18.064999499999999</v>
      </c>
    </row>
    <row r="133" spans="1:4" x14ac:dyDescent="0.25">
      <c r="A133" s="2">
        <v>42554</v>
      </c>
      <c r="B133">
        <v>18.501981653955799</v>
      </c>
      <c r="C133" t="s">
        <v>18</v>
      </c>
      <c r="D133">
        <v>18.3500005</v>
      </c>
    </row>
    <row r="134" spans="1:4" x14ac:dyDescent="0.25">
      <c r="A134" s="2">
        <v>42561</v>
      </c>
      <c r="B134">
        <v>18.268174079068501</v>
      </c>
      <c r="C134" t="s">
        <v>18</v>
      </c>
      <c r="D134">
        <v>18.585000000000001</v>
      </c>
    </row>
    <row r="135" spans="1:4" x14ac:dyDescent="0.25">
      <c r="A135" s="2">
        <v>42568</v>
      </c>
      <c r="B135">
        <v>18.687838945324899</v>
      </c>
      <c r="C135" t="s">
        <v>18</v>
      </c>
      <c r="D135">
        <v>18.855000499999999</v>
      </c>
    </row>
    <row r="136" spans="1:4" x14ac:dyDescent="0.25">
      <c r="A136" s="2">
        <v>42575</v>
      </c>
      <c r="B136">
        <v>18.907319057057499</v>
      </c>
      <c r="C136" t="s">
        <v>18</v>
      </c>
      <c r="D136">
        <v>18.650001</v>
      </c>
    </row>
    <row r="137" spans="1:4" x14ac:dyDescent="0.25">
      <c r="A137" s="2">
        <v>42582</v>
      </c>
      <c r="B137">
        <v>18.233216417049501</v>
      </c>
      <c r="C137" t="s">
        <v>18</v>
      </c>
      <c r="D137">
        <v>18.139999499999998</v>
      </c>
    </row>
    <row r="138" spans="1:4" x14ac:dyDescent="0.25">
      <c r="A138" s="2">
        <v>42589</v>
      </c>
      <c r="B138">
        <v>17.954046474806301</v>
      </c>
      <c r="C138" t="s">
        <v>18</v>
      </c>
      <c r="D138">
        <v>17.969998999999898</v>
      </c>
    </row>
    <row r="139" spans="1:4" x14ac:dyDescent="0.25">
      <c r="A139" s="2">
        <v>42596</v>
      </c>
      <c r="B139">
        <v>17.988600839845802</v>
      </c>
      <c r="C139" t="s">
        <v>18</v>
      </c>
      <c r="D139">
        <v>17.68</v>
      </c>
    </row>
    <row r="140" spans="1:4" x14ac:dyDescent="0.25">
      <c r="A140" s="2">
        <v>42603</v>
      </c>
      <c r="B140">
        <v>17.662295281493101</v>
      </c>
      <c r="C140" t="s">
        <v>18</v>
      </c>
      <c r="D140">
        <v>17.84</v>
      </c>
    </row>
    <row r="141" spans="1:4" x14ac:dyDescent="0.25">
      <c r="A141" s="2">
        <v>42610</v>
      </c>
      <c r="B141">
        <v>17.952541433564399</v>
      </c>
      <c r="C141" t="s">
        <v>18</v>
      </c>
      <c r="D141">
        <v>18.055</v>
      </c>
    </row>
    <row r="142" spans="1:4" x14ac:dyDescent="0.25">
      <c r="A142" s="2">
        <v>42617</v>
      </c>
      <c r="B142">
        <v>17.902872256262601</v>
      </c>
      <c r="C142" t="s">
        <v>18</v>
      </c>
      <c r="D142">
        <v>18.510000000000002</v>
      </c>
    </row>
    <row r="143" spans="1:4" x14ac:dyDescent="0.25">
      <c r="A143" s="2">
        <v>42624</v>
      </c>
      <c r="B143">
        <v>18.601644824097001</v>
      </c>
      <c r="C143" t="s">
        <v>18</v>
      </c>
      <c r="D143">
        <v>18.690000000000001</v>
      </c>
    </row>
    <row r="144" spans="1:4" x14ac:dyDescent="0.25">
      <c r="A144" s="2">
        <v>42631</v>
      </c>
      <c r="B144">
        <v>18.6636786774848</v>
      </c>
      <c r="C144" t="s">
        <v>18</v>
      </c>
      <c r="D144">
        <v>18.8500005</v>
      </c>
    </row>
    <row r="145" spans="1:4" x14ac:dyDescent="0.25">
      <c r="A145" s="2">
        <v>42638</v>
      </c>
      <c r="B145">
        <v>18.895010801242702</v>
      </c>
      <c r="C145" t="s">
        <v>18</v>
      </c>
      <c r="D145">
        <v>18.785</v>
      </c>
    </row>
    <row r="146" spans="1:4" x14ac:dyDescent="0.25">
      <c r="A146" s="2">
        <v>42645</v>
      </c>
      <c r="B146">
        <v>18.709451758128701</v>
      </c>
      <c r="C146" t="s">
        <v>18</v>
      </c>
      <c r="D146">
        <v>18.8350005</v>
      </c>
    </row>
    <row r="147" spans="1:4" x14ac:dyDescent="0.25">
      <c r="A147" s="2">
        <v>42652</v>
      </c>
      <c r="B147">
        <v>18.711403279918699</v>
      </c>
      <c r="C147" t="s">
        <v>18</v>
      </c>
      <c r="D147">
        <v>18.525001</v>
      </c>
    </row>
    <row r="148" spans="1:4" x14ac:dyDescent="0.25">
      <c r="A148" s="2">
        <v>42659</v>
      </c>
      <c r="B148">
        <v>18.2528316142979</v>
      </c>
      <c r="C148" t="s">
        <v>18</v>
      </c>
      <c r="D148">
        <v>18.514999499999998</v>
      </c>
    </row>
    <row r="149" spans="1:4" x14ac:dyDescent="0.25">
      <c r="A149" s="2">
        <v>42666</v>
      </c>
      <c r="B149">
        <v>18.559670019940601</v>
      </c>
      <c r="C149" t="s">
        <v>18</v>
      </c>
      <c r="D149">
        <v>18.695</v>
      </c>
    </row>
    <row r="150" spans="1:4" x14ac:dyDescent="0.25">
      <c r="A150" s="2">
        <v>42673</v>
      </c>
      <c r="B150">
        <v>18.472640672170201</v>
      </c>
      <c r="C150" t="s">
        <v>18</v>
      </c>
      <c r="D150">
        <v>18.625</v>
      </c>
    </row>
    <row r="151" spans="1:4" x14ac:dyDescent="0.25">
      <c r="A151" s="2">
        <v>42680</v>
      </c>
      <c r="B151">
        <v>18.374985162458099</v>
      </c>
      <c r="C151" t="s">
        <v>18</v>
      </c>
      <c r="D151">
        <v>18.474999499999999</v>
      </c>
    </row>
    <row r="152" spans="1:4" x14ac:dyDescent="0.25">
      <c r="A152" s="2">
        <v>42687</v>
      </c>
      <c r="B152">
        <v>18.6132105102871</v>
      </c>
      <c r="C152" t="s">
        <v>18</v>
      </c>
      <c r="D152">
        <v>19.0599995</v>
      </c>
    </row>
    <row r="153" spans="1:4" x14ac:dyDescent="0.25">
      <c r="A153" s="2">
        <v>42694</v>
      </c>
      <c r="B153">
        <v>19.1804136344673</v>
      </c>
      <c r="C153" t="s">
        <v>18</v>
      </c>
      <c r="D153">
        <v>19.735000500000002</v>
      </c>
    </row>
    <row r="154" spans="1:4" x14ac:dyDescent="0.25">
      <c r="A154" s="2">
        <v>42701</v>
      </c>
      <c r="B154">
        <v>19.6121595734169</v>
      </c>
      <c r="C154" t="s">
        <v>18</v>
      </c>
      <c r="D154">
        <v>20.319999499999899</v>
      </c>
    </row>
    <row r="155" spans="1:4" x14ac:dyDescent="0.25">
      <c r="A155" s="2">
        <v>42708</v>
      </c>
      <c r="B155">
        <v>20.268283579547901</v>
      </c>
      <c r="C155" t="s">
        <v>18</v>
      </c>
      <c r="D155">
        <v>20.770000499999998</v>
      </c>
    </row>
    <row r="156" spans="1:4" x14ac:dyDescent="0.25">
      <c r="A156" s="2">
        <v>42715</v>
      </c>
      <c r="B156">
        <v>20.8007640166485</v>
      </c>
      <c r="C156" t="s">
        <v>18</v>
      </c>
      <c r="D156">
        <v>21.055</v>
      </c>
    </row>
    <row r="157" spans="1:4" x14ac:dyDescent="0.25">
      <c r="A157" s="2">
        <v>42722</v>
      </c>
      <c r="B157">
        <v>21.2084307977651</v>
      </c>
      <c r="C157" t="s">
        <v>18</v>
      </c>
      <c r="D157">
        <v>20.569999499999899</v>
      </c>
    </row>
    <row r="158" spans="1:4" x14ac:dyDescent="0.25">
      <c r="A158" s="2">
        <v>42729</v>
      </c>
      <c r="B158">
        <v>20.560502657438899</v>
      </c>
      <c r="C158" t="s">
        <v>18</v>
      </c>
      <c r="D158">
        <v>20.335000000000001</v>
      </c>
    </row>
    <row r="159" spans="1:4" x14ac:dyDescent="0.25">
      <c r="A159" s="2">
        <v>42736</v>
      </c>
      <c r="B159">
        <v>20.181964132093899</v>
      </c>
      <c r="C159" t="s">
        <v>18</v>
      </c>
      <c r="D159">
        <v>20.519999500000001</v>
      </c>
    </row>
    <row r="160" spans="1:4" x14ac:dyDescent="0.25">
      <c r="A160" s="2">
        <v>42743</v>
      </c>
      <c r="B160">
        <v>20.4587107251219</v>
      </c>
      <c r="C160" t="s">
        <v>18</v>
      </c>
      <c r="D160">
        <v>20.914999999999999</v>
      </c>
    </row>
    <row r="161" spans="1:4" x14ac:dyDescent="0.25">
      <c r="A161" s="2">
        <v>42750</v>
      </c>
      <c r="B161">
        <v>21.081318649405599</v>
      </c>
      <c r="C161" t="s">
        <v>18</v>
      </c>
      <c r="D161">
        <v>20.854999499999899</v>
      </c>
    </row>
    <row r="162" spans="1:4" x14ac:dyDescent="0.25">
      <c r="A162" s="2">
        <v>42757</v>
      </c>
      <c r="B162">
        <v>20.9036404198004</v>
      </c>
      <c r="C162" t="s">
        <v>18</v>
      </c>
      <c r="D162">
        <v>20.970000500000001</v>
      </c>
    </row>
    <row r="163" spans="1:4" x14ac:dyDescent="0.25">
      <c r="A163" s="2">
        <v>42764</v>
      </c>
      <c r="B163">
        <v>21.253392402829299</v>
      </c>
      <c r="C163" t="s">
        <v>18</v>
      </c>
      <c r="D163">
        <v>20.724999499999999</v>
      </c>
    </row>
    <row r="164" spans="1:4" x14ac:dyDescent="0.25">
      <c r="A164" s="2">
        <v>42771</v>
      </c>
      <c r="B164" t="s">
        <v>8</v>
      </c>
      <c r="C164" t="s">
        <v>8</v>
      </c>
      <c r="D164">
        <v>20.805</v>
      </c>
    </row>
    <row r="165" spans="1:4" x14ac:dyDescent="0.25">
      <c r="A165" s="2">
        <v>42778</v>
      </c>
      <c r="B165">
        <v>21.232411947672901</v>
      </c>
      <c r="C165" t="s">
        <v>19</v>
      </c>
      <c r="D165">
        <v>20.939999499999999</v>
      </c>
    </row>
    <row r="166" spans="1:4" x14ac:dyDescent="0.25">
      <c r="A166" s="2">
        <v>42785</v>
      </c>
      <c r="B166">
        <v>20.9189792233554</v>
      </c>
      <c r="C166" t="s">
        <v>19</v>
      </c>
      <c r="D166">
        <v>21.480000499999999</v>
      </c>
    </row>
    <row r="167" spans="1:4" x14ac:dyDescent="0.25">
      <c r="A167" s="2">
        <v>42792</v>
      </c>
      <c r="B167">
        <v>21.7000573259456</v>
      </c>
      <c r="C167" t="s">
        <v>19</v>
      </c>
      <c r="D167">
        <v>21.66</v>
      </c>
    </row>
    <row r="168" spans="1:4" x14ac:dyDescent="0.25">
      <c r="A168" s="2">
        <v>42799</v>
      </c>
      <c r="B168">
        <v>21.407578771133899</v>
      </c>
      <c r="C168" t="s">
        <v>19</v>
      </c>
      <c r="D168">
        <v>21.519999500000001</v>
      </c>
    </row>
    <row r="169" spans="1:4" x14ac:dyDescent="0.25">
      <c r="A169" s="2">
        <v>42806</v>
      </c>
      <c r="B169">
        <v>21.410482208978799</v>
      </c>
      <c r="C169" t="s">
        <v>19</v>
      </c>
      <c r="D169">
        <v>21.664999999999999</v>
      </c>
    </row>
    <row r="170" spans="1:4" x14ac:dyDescent="0.25">
      <c r="A170" s="2">
        <v>42813</v>
      </c>
      <c r="B170">
        <v>21.834572264485399</v>
      </c>
      <c r="C170" t="s">
        <v>19</v>
      </c>
      <c r="D170">
        <v>21.730000499999999</v>
      </c>
    </row>
    <row r="171" spans="1:4" x14ac:dyDescent="0.25">
      <c r="A171" s="2">
        <v>42820</v>
      </c>
      <c r="B171">
        <v>21.726034307739699</v>
      </c>
      <c r="C171" t="s">
        <v>19</v>
      </c>
      <c r="D171">
        <v>21.835000000000001</v>
      </c>
    </row>
    <row r="172" spans="1:4" x14ac:dyDescent="0.25">
      <c r="A172" s="2">
        <v>42827</v>
      </c>
      <c r="B172">
        <v>22.105594593867899</v>
      </c>
      <c r="C172" t="s">
        <v>19</v>
      </c>
      <c r="D172">
        <v>21.9</v>
      </c>
    </row>
    <row r="173" spans="1:4" x14ac:dyDescent="0.25">
      <c r="A173" s="2">
        <v>42834</v>
      </c>
      <c r="B173">
        <v>21.841665259499901</v>
      </c>
      <c r="C173" t="s">
        <v>19</v>
      </c>
      <c r="D173">
        <v>21.904999499999999</v>
      </c>
    </row>
    <row r="174" spans="1:4" x14ac:dyDescent="0.25">
      <c r="A174" s="2">
        <v>42841</v>
      </c>
      <c r="B174">
        <v>21.7885798864151</v>
      </c>
      <c r="C174" t="s">
        <v>19</v>
      </c>
      <c r="D174">
        <v>21.680000499999998</v>
      </c>
    </row>
    <row r="175" spans="1:4" x14ac:dyDescent="0.25">
      <c r="A175" s="2">
        <v>42848</v>
      </c>
      <c r="B175">
        <v>21.417490338893298</v>
      </c>
      <c r="C175" t="s">
        <v>19</v>
      </c>
      <c r="D175">
        <v>21.704999999999998</v>
      </c>
    </row>
    <row r="176" spans="1:4" x14ac:dyDescent="0.25">
      <c r="A176" s="2">
        <v>42855</v>
      </c>
      <c r="B176">
        <v>21.880317181932401</v>
      </c>
      <c r="C176" t="s">
        <v>19</v>
      </c>
      <c r="D176">
        <v>22.644999500000001</v>
      </c>
    </row>
    <row r="177" spans="1:4" x14ac:dyDescent="0.25">
      <c r="A177" s="2">
        <v>42862</v>
      </c>
      <c r="B177">
        <v>23.336902704791498</v>
      </c>
      <c r="C177" t="s">
        <v>19</v>
      </c>
      <c r="D177">
        <v>23.6550005</v>
      </c>
    </row>
    <row r="178" spans="1:4" x14ac:dyDescent="0.25">
      <c r="A178" s="2">
        <v>42869</v>
      </c>
      <c r="B178">
        <v>23.632377072733799</v>
      </c>
      <c r="C178" t="s">
        <v>19</v>
      </c>
      <c r="D178">
        <v>23.1700005</v>
      </c>
    </row>
    <row r="179" spans="1:4" x14ac:dyDescent="0.25">
      <c r="A179" s="2">
        <v>42876</v>
      </c>
      <c r="B179">
        <v>23.0569665358382</v>
      </c>
      <c r="C179" t="s">
        <v>19</v>
      </c>
      <c r="D179">
        <v>23.3999995</v>
      </c>
    </row>
    <row r="180" spans="1:4" x14ac:dyDescent="0.25">
      <c r="A180" s="2">
        <v>42883</v>
      </c>
      <c r="B180">
        <v>23.5013183217165</v>
      </c>
      <c r="C180" t="s">
        <v>19</v>
      </c>
      <c r="D180">
        <v>23.185000500000001</v>
      </c>
    </row>
    <row r="181" spans="1:4" x14ac:dyDescent="0.25">
      <c r="A181" s="2">
        <v>42890</v>
      </c>
      <c r="B181">
        <v>23.089123274049001</v>
      </c>
      <c r="C181" t="s">
        <v>19</v>
      </c>
      <c r="D181">
        <v>23.349999499999999</v>
      </c>
    </row>
    <row r="182" spans="1:4" x14ac:dyDescent="0.25">
      <c r="A182" s="2">
        <v>42897</v>
      </c>
      <c r="B182">
        <v>23.315562511733599</v>
      </c>
      <c r="C182" t="s">
        <v>19</v>
      </c>
      <c r="D182">
        <v>23.414999999999999</v>
      </c>
    </row>
    <row r="183" spans="1:4" x14ac:dyDescent="0.25">
      <c r="A183" s="2">
        <v>42904</v>
      </c>
      <c r="B183">
        <v>23.156398016746401</v>
      </c>
      <c r="C183" t="s">
        <v>19</v>
      </c>
      <c r="D183">
        <v>23.04</v>
      </c>
    </row>
    <row r="184" spans="1:4" x14ac:dyDescent="0.25">
      <c r="A184" s="2">
        <v>42911</v>
      </c>
      <c r="B184">
        <v>23.1462468740588</v>
      </c>
      <c r="C184" t="s">
        <v>19</v>
      </c>
      <c r="D184">
        <v>23.115000999999999</v>
      </c>
    </row>
    <row r="185" spans="1:4" x14ac:dyDescent="0.25">
      <c r="A185" s="2">
        <v>42918</v>
      </c>
      <c r="B185">
        <v>23.031626793312402</v>
      </c>
      <c r="C185" t="s">
        <v>19</v>
      </c>
      <c r="D185">
        <v>23.104999499999899</v>
      </c>
    </row>
    <row r="186" spans="1:4" x14ac:dyDescent="0.25">
      <c r="A186" s="2">
        <v>42925</v>
      </c>
      <c r="B186">
        <v>23.031066908958199</v>
      </c>
      <c r="C186" t="s">
        <v>19</v>
      </c>
      <c r="D186">
        <v>23.475000000000001</v>
      </c>
    </row>
    <row r="187" spans="1:4" x14ac:dyDescent="0.25">
      <c r="A187" s="2">
        <v>42932</v>
      </c>
      <c r="B187">
        <v>23.331808921247099</v>
      </c>
      <c r="C187" t="s">
        <v>19</v>
      </c>
      <c r="D187">
        <v>23.924999</v>
      </c>
    </row>
    <row r="188" spans="1:4" x14ac:dyDescent="0.25">
      <c r="A188" s="2">
        <v>42939</v>
      </c>
      <c r="B188">
        <v>23.8034215551885</v>
      </c>
      <c r="C188" t="s">
        <v>19</v>
      </c>
      <c r="D188">
        <v>24.164999999999999</v>
      </c>
    </row>
    <row r="189" spans="1:4" x14ac:dyDescent="0.25">
      <c r="A189" s="2">
        <v>42946</v>
      </c>
      <c r="B189">
        <v>23.9867669710268</v>
      </c>
      <c r="C189" t="s">
        <v>19</v>
      </c>
      <c r="D189">
        <v>24.204999999999998</v>
      </c>
    </row>
    <row r="190" spans="1:4" x14ac:dyDescent="0.25">
      <c r="A190" s="2">
        <v>42953</v>
      </c>
      <c r="B190">
        <v>24.027147738239201</v>
      </c>
      <c r="C190" t="s">
        <v>19</v>
      </c>
      <c r="D190">
        <v>24.344999999999999</v>
      </c>
    </row>
    <row r="191" spans="1:4" x14ac:dyDescent="0.25">
      <c r="A191" s="2">
        <v>42960</v>
      </c>
      <c r="B191">
        <v>24.021297303471599</v>
      </c>
      <c r="C191" t="s">
        <v>19</v>
      </c>
      <c r="D191">
        <v>23.849999499999999</v>
      </c>
    </row>
    <row r="192" spans="1:4" x14ac:dyDescent="0.25">
      <c r="A192" s="2">
        <v>42967</v>
      </c>
      <c r="B192">
        <v>23.391740955250899</v>
      </c>
      <c r="C192" t="s">
        <v>19</v>
      </c>
      <c r="D192">
        <v>23.629998999999899</v>
      </c>
    </row>
    <row r="193" spans="1:4" x14ac:dyDescent="0.25">
      <c r="A193" s="2">
        <v>42974</v>
      </c>
      <c r="B193">
        <v>23.3985587019544</v>
      </c>
      <c r="C193" t="s">
        <v>19</v>
      </c>
      <c r="D193">
        <v>23.795000000000002</v>
      </c>
    </row>
    <row r="194" spans="1:4" x14ac:dyDescent="0.25">
      <c r="A194" s="2">
        <v>42981</v>
      </c>
      <c r="B194">
        <v>23.591608028913601</v>
      </c>
      <c r="C194" t="s">
        <v>19</v>
      </c>
      <c r="D194">
        <v>23.645000499999998</v>
      </c>
    </row>
    <row r="195" spans="1:4" x14ac:dyDescent="0.25">
      <c r="A195" s="2">
        <v>42988</v>
      </c>
      <c r="B195">
        <v>23.280985991645899</v>
      </c>
      <c r="C195" t="s">
        <v>19</v>
      </c>
      <c r="D195">
        <v>23.265000499999999</v>
      </c>
    </row>
    <row r="196" spans="1:4" x14ac:dyDescent="0.25">
      <c r="A196" s="2">
        <v>42995</v>
      </c>
      <c r="B196">
        <v>22.823701290245701</v>
      </c>
      <c r="C196" t="s">
        <v>19</v>
      </c>
      <c r="D196">
        <v>23.2250005</v>
      </c>
    </row>
    <row r="197" spans="1:4" x14ac:dyDescent="0.25">
      <c r="A197" s="2">
        <v>43002</v>
      </c>
      <c r="B197">
        <v>23.295009010642101</v>
      </c>
      <c r="C197" t="s">
        <v>19</v>
      </c>
      <c r="D197">
        <v>23.630000500000001</v>
      </c>
    </row>
    <row r="198" spans="1:4" x14ac:dyDescent="0.25">
      <c r="A198" s="2">
        <v>43009</v>
      </c>
      <c r="B198">
        <v>23.336767896955699</v>
      </c>
      <c r="C198" t="s">
        <v>19</v>
      </c>
      <c r="D198">
        <v>23.96</v>
      </c>
    </row>
    <row r="199" spans="1:4" x14ac:dyDescent="0.25">
      <c r="A199" s="2">
        <v>43016</v>
      </c>
      <c r="B199">
        <v>23.949441347413199</v>
      </c>
      <c r="C199" t="s">
        <v>19</v>
      </c>
      <c r="D199">
        <v>24.2399995</v>
      </c>
    </row>
    <row r="200" spans="1:4" x14ac:dyDescent="0.25">
      <c r="A200" s="2">
        <v>43023</v>
      </c>
      <c r="B200">
        <v>23.808137200876001</v>
      </c>
      <c r="C200" t="s">
        <v>19</v>
      </c>
      <c r="D200">
        <v>24.2</v>
      </c>
    </row>
    <row r="201" spans="1:4" x14ac:dyDescent="0.25">
      <c r="A201" s="2">
        <v>43030</v>
      </c>
      <c r="B201">
        <v>23.952996669388799</v>
      </c>
      <c r="C201" t="s">
        <v>19</v>
      </c>
      <c r="D201">
        <v>24.625</v>
      </c>
    </row>
    <row r="202" spans="1:4" x14ac:dyDescent="0.25">
      <c r="A202" s="2">
        <v>43037</v>
      </c>
      <c r="B202">
        <v>24.432834458859698</v>
      </c>
      <c r="C202" t="s">
        <v>19</v>
      </c>
      <c r="D202">
        <v>24.71</v>
      </c>
    </row>
    <row r="203" spans="1:4" x14ac:dyDescent="0.25">
      <c r="A203" s="2">
        <v>43044</v>
      </c>
      <c r="B203">
        <v>24.571502530167798</v>
      </c>
      <c r="C203" t="s">
        <v>19</v>
      </c>
      <c r="D203">
        <v>25.090000499999999</v>
      </c>
    </row>
    <row r="204" spans="1:4" x14ac:dyDescent="0.25">
      <c r="A204" s="2">
        <v>43051</v>
      </c>
      <c r="B204">
        <v>24.9053806089007</v>
      </c>
      <c r="C204" t="s">
        <v>19</v>
      </c>
      <c r="D204">
        <v>25.060000500000001</v>
      </c>
    </row>
    <row r="205" spans="1:4" x14ac:dyDescent="0.25">
      <c r="A205" s="2">
        <v>43058</v>
      </c>
      <c r="B205">
        <v>24.545060667870299</v>
      </c>
      <c r="C205" t="s">
        <v>19</v>
      </c>
      <c r="D205">
        <v>25.4750005</v>
      </c>
    </row>
    <row r="206" spans="1:4" x14ac:dyDescent="0.25">
      <c r="A206" s="2">
        <v>43065</v>
      </c>
      <c r="B206">
        <v>25.541554932881699</v>
      </c>
      <c r="C206" t="s">
        <v>19</v>
      </c>
      <c r="D206">
        <v>26.159999499999898</v>
      </c>
    </row>
    <row r="207" spans="1:4" x14ac:dyDescent="0.25">
      <c r="A207" s="2">
        <v>43072</v>
      </c>
      <c r="B207">
        <v>25.623478293055499</v>
      </c>
      <c r="C207" t="s">
        <v>19</v>
      </c>
      <c r="D207">
        <v>26.074999500000001</v>
      </c>
    </row>
    <row r="208" spans="1:4" x14ac:dyDescent="0.25">
      <c r="A208" s="2">
        <v>43079</v>
      </c>
      <c r="B208">
        <v>25.485371983648101</v>
      </c>
      <c r="C208" t="s">
        <v>19</v>
      </c>
      <c r="D208">
        <v>26.360000499999899</v>
      </c>
    </row>
    <row r="209" spans="1:4" x14ac:dyDescent="0.25">
      <c r="A209" s="2">
        <v>43086</v>
      </c>
      <c r="B209">
        <v>25.659208753197198</v>
      </c>
      <c r="C209" t="s">
        <v>19</v>
      </c>
      <c r="D209">
        <v>25.9400005</v>
      </c>
    </row>
    <row r="210" spans="1:4" x14ac:dyDescent="0.25">
      <c r="A210" s="2">
        <v>43093</v>
      </c>
      <c r="B210">
        <v>25.269260378018298</v>
      </c>
      <c r="C210" t="s">
        <v>19</v>
      </c>
      <c r="D210">
        <v>26.065000000000001</v>
      </c>
    </row>
    <row r="211" spans="1:4" x14ac:dyDescent="0.25">
      <c r="A211" s="2">
        <v>43100</v>
      </c>
      <c r="B211">
        <v>25.4554206115086</v>
      </c>
      <c r="C211" t="s">
        <v>19</v>
      </c>
      <c r="D211">
        <v>26.724999499999999</v>
      </c>
    </row>
    <row r="212" spans="1:4" x14ac:dyDescent="0.25">
      <c r="A212" s="2">
        <v>43107</v>
      </c>
      <c r="B212">
        <v>25.775015818815199</v>
      </c>
      <c r="C212" t="s">
        <v>19</v>
      </c>
      <c r="D212">
        <v>27.4849999999999</v>
      </c>
    </row>
    <row r="213" spans="1:4" x14ac:dyDescent="0.25">
      <c r="A213" s="2">
        <v>43114</v>
      </c>
      <c r="B213">
        <v>26.576566687999101</v>
      </c>
      <c r="C213" t="s">
        <v>19</v>
      </c>
      <c r="D213">
        <v>28.099999499999999</v>
      </c>
    </row>
    <row r="214" spans="1:4" x14ac:dyDescent="0.25">
      <c r="A214" s="2">
        <v>43121</v>
      </c>
      <c r="B214">
        <v>26.830453777374199</v>
      </c>
      <c r="C214" t="s">
        <v>19</v>
      </c>
      <c r="D214">
        <v>28.089998999999999</v>
      </c>
    </row>
    <row r="215" spans="1:4" x14ac:dyDescent="0.25">
      <c r="A215" s="2">
        <v>43128</v>
      </c>
      <c r="B215">
        <v>26.9157830068255</v>
      </c>
      <c r="C215" t="s">
        <v>19</v>
      </c>
      <c r="D215">
        <v>27.720000499999902</v>
      </c>
    </row>
    <row r="216" spans="1:4" x14ac:dyDescent="0.25">
      <c r="A216" s="2">
        <v>43135</v>
      </c>
      <c r="B216">
        <v>26.682725417871399</v>
      </c>
      <c r="C216" t="s">
        <v>19</v>
      </c>
      <c r="D216">
        <v>26.604999499999899</v>
      </c>
    </row>
    <row r="217" spans="1:4" x14ac:dyDescent="0.25">
      <c r="A217" s="2">
        <v>43142</v>
      </c>
      <c r="B217">
        <v>25.8097316528502</v>
      </c>
      <c r="C217" t="s">
        <v>19</v>
      </c>
      <c r="D217">
        <v>26.699999500000001</v>
      </c>
    </row>
    <row r="218" spans="1:4" x14ac:dyDescent="0.25">
      <c r="A218" s="2">
        <v>43149</v>
      </c>
      <c r="B218">
        <v>26.9228741242935</v>
      </c>
      <c r="C218" t="s">
        <v>19</v>
      </c>
      <c r="D218">
        <v>27.644999500000001</v>
      </c>
    </row>
    <row r="219" spans="1:4" x14ac:dyDescent="0.25">
      <c r="A219" s="2">
        <v>43156</v>
      </c>
      <c r="B219">
        <v>27.0972914312078</v>
      </c>
      <c r="C219" t="s">
        <v>19</v>
      </c>
      <c r="D219">
        <v>28.199999500000001</v>
      </c>
    </row>
    <row r="220" spans="1:4" x14ac:dyDescent="0.25">
      <c r="A220" s="2">
        <v>43163</v>
      </c>
      <c r="B220">
        <v>26.875504378140501</v>
      </c>
      <c r="C220" t="s">
        <v>19</v>
      </c>
      <c r="D220">
        <v>27.83</v>
      </c>
    </row>
    <row r="221" spans="1:4" x14ac:dyDescent="0.25">
      <c r="A221" s="2">
        <v>43170</v>
      </c>
      <c r="B221">
        <v>27.096361670201102</v>
      </c>
      <c r="C221" t="s">
        <v>19</v>
      </c>
      <c r="D221">
        <v>28.57</v>
      </c>
    </row>
    <row r="222" spans="1:4" x14ac:dyDescent="0.25">
      <c r="A222" s="2">
        <v>43177</v>
      </c>
      <c r="B222">
        <v>27.2238913848933</v>
      </c>
      <c r="C222" t="s">
        <v>19</v>
      </c>
      <c r="D222">
        <v>27.980000499999999</v>
      </c>
    </row>
    <row r="223" spans="1:4" x14ac:dyDescent="0.25">
      <c r="A223" s="2">
        <v>43184</v>
      </c>
      <c r="B223">
        <v>26.789071151371001</v>
      </c>
      <c r="C223" t="s">
        <v>19</v>
      </c>
      <c r="D223">
        <v>27.375</v>
      </c>
    </row>
    <row r="224" spans="1:4" x14ac:dyDescent="0.25">
      <c r="A224" s="2">
        <v>43191</v>
      </c>
      <c r="B224">
        <v>26.803272912790199</v>
      </c>
      <c r="C224" t="s">
        <v>19</v>
      </c>
      <c r="D224">
        <v>26.8649995</v>
      </c>
    </row>
    <row r="225" spans="1:4" x14ac:dyDescent="0.25">
      <c r="A225" s="2">
        <v>43198</v>
      </c>
      <c r="B225">
        <v>26.503219960051901</v>
      </c>
      <c r="C225" t="s">
        <v>19</v>
      </c>
      <c r="D225">
        <v>27.7</v>
      </c>
    </row>
    <row r="226" spans="1:4" x14ac:dyDescent="0.25">
      <c r="A226" s="2">
        <v>43205</v>
      </c>
      <c r="B226">
        <v>27.2589248997892</v>
      </c>
      <c r="C226" t="s">
        <v>19</v>
      </c>
      <c r="D226">
        <v>29.005000500000001</v>
      </c>
    </row>
    <row r="227" spans="1:4" x14ac:dyDescent="0.25">
      <c r="A227" s="2">
        <v>43212</v>
      </c>
      <c r="B227">
        <v>27.9699359725875</v>
      </c>
      <c r="C227" t="s">
        <v>19</v>
      </c>
      <c r="D227">
        <v>29.584999999999901</v>
      </c>
    </row>
    <row r="228" spans="1:4" x14ac:dyDescent="0.25">
      <c r="A228" s="2">
        <v>43219</v>
      </c>
      <c r="B228">
        <v>28.073763540775801</v>
      </c>
      <c r="C228" t="s">
        <v>19</v>
      </c>
      <c r="D228">
        <v>29.675000499999999</v>
      </c>
    </row>
    <row r="229" spans="1:4" x14ac:dyDescent="0.25">
      <c r="A229" s="2">
        <v>43226</v>
      </c>
      <c r="B229">
        <v>28.087747506805702</v>
      </c>
      <c r="C229" t="s">
        <v>19</v>
      </c>
      <c r="D229">
        <v>29.220000500000001</v>
      </c>
    </row>
    <row r="230" spans="1:4" x14ac:dyDescent="0.25">
      <c r="A230" s="2">
        <v>43233</v>
      </c>
      <c r="B230">
        <v>28.025179397572799</v>
      </c>
      <c r="C230" t="s">
        <v>19</v>
      </c>
      <c r="D230">
        <v>29.509999000000001</v>
      </c>
    </row>
    <row r="231" spans="1:4" x14ac:dyDescent="0.25">
      <c r="A231" s="2">
        <v>43240</v>
      </c>
      <c r="B231">
        <v>27.7808024565241</v>
      </c>
      <c r="C231" t="s">
        <v>19</v>
      </c>
      <c r="D231">
        <v>29.575001</v>
      </c>
    </row>
    <row r="232" spans="1:4" x14ac:dyDescent="0.25">
      <c r="A232" s="2">
        <v>43247</v>
      </c>
      <c r="B232">
        <v>27.769109848193299</v>
      </c>
      <c r="C232" t="s">
        <v>19</v>
      </c>
      <c r="D232">
        <v>28.7399995</v>
      </c>
    </row>
    <row r="233" spans="1:4" x14ac:dyDescent="0.25">
      <c r="A233" s="2">
        <v>43254</v>
      </c>
      <c r="B233">
        <v>27.063215465006198</v>
      </c>
      <c r="C233" t="s">
        <v>19</v>
      </c>
      <c r="D233">
        <v>28.385000000000002</v>
      </c>
    </row>
    <row r="234" spans="1:4" x14ac:dyDescent="0.25">
      <c r="A234" s="2">
        <v>43261</v>
      </c>
      <c r="B234">
        <v>26.928409131255901</v>
      </c>
      <c r="C234" t="s">
        <v>19</v>
      </c>
      <c r="D234">
        <v>27.51</v>
      </c>
    </row>
    <row r="235" spans="1:4" x14ac:dyDescent="0.25">
      <c r="A235" s="2">
        <v>43268</v>
      </c>
      <c r="B235">
        <v>26.237698090776998</v>
      </c>
      <c r="C235" t="s">
        <v>19</v>
      </c>
      <c r="D235">
        <v>26.550000499999999</v>
      </c>
    </row>
    <row r="236" spans="1:4" x14ac:dyDescent="0.25">
      <c r="A236" s="2">
        <v>43275</v>
      </c>
      <c r="B236">
        <v>25.802937938741401</v>
      </c>
      <c r="C236" t="s">
        <v>19</v>
      </c>
      <c r="D236">
        <v>26.560000500000001</v>
      </c>
    </row>
    <row r="237" spans="1:4" x14ac:dyDescent="0.25">
      <c r="A237" s="2">
        <v>43282</v>
      </c>
      <c r="B237">
        <v>25.966656234911301</v>
      </c>
      <c r="C237" t="s">
        <v>19</v>
      </c>
      <c r="D237">
        <v>26.650000500000001</v>
      </c>
    </row>
    <row r="238" spans="1:4" x14ac:dyDescent="0.25">
      <c r="A238" s="2">
        <v>43289</v>
      </c>
      <c r="B238">
        <v>25.5820010387108</v>
      </c>
      <c r="C238" t="s">
        <v>19</v>
      </c>
      <c r="D238">
        <v>26.519999500000001</v>
      </c>
    </row>
    <row r="239" spans="1:4" x14ac:dyDescent="0.25">
      <c r="A239" s="2">
        <v>43296</v>
      </c>
      <c r="B239">
        <v>25.445547721206299</v>
      </c>
      <c r="C239" t="s">
        <v>19</v>
      </c>
      <c r="D239">
        <v>26.194999999999901</v>
      </c>
    </row>
    <row r="240" spans="1:4" x14ac:dyDescent="0.25">
      <c r="A240" s="2">
        <v>43303</v>
      </c>
      <c r="B240">
        <v>25.290556260979798</v>
      </c>
      <c r="C240" t="s">
        <v>19</v>
      </c>
      <c r="D240">
        <v>26.775000500000001</v>
      </c>
    </row>
    <row r="241" spans="1:4" x14ac:dyDescent="0.25">
      <c r="A241" s="2">
        <v>43310</v>
      </c>
      <c r="B241">
        <v>25.895959851546301</v>
      </c>
      <c r="C241" t="s">
        <v>19</v>
      </c>
      <c r="D241">
        <v>26.970000499999902</v>
      </c>
    </row>
    <row r="242" spans="1:4" x14ac:dyDescent="0.25">
      <c r="A242" s="2">
        <v>43317</v>
      </c>
      <c r="B242">
        <v>25.699777275055499</v>
      </c>
      <c r="C242" t="s">
        <v>19</v>
      </c>
      <c r="D242">
        <v>27.69</v>
      </c>
    </row>
    <row r="243" spans="1:4" x14ac:dyDescent="0.25">
      <c r="A243" s="2">
        <v>43324</v>
      </c>
      <c r="B243">
        <v>26.5751607812103</v>
      </c>
      <c r="C243" t="s">
        <v>19</v>
      </c>
      <c r="D243">
        <v>27.305000499999998</v>
      </c>
    </row>
    <row r="244" spans="1:4" x14ac:dyDescent="0.25">
      <c r="A244" s="2">
        <v>43331</v>
      </c>
      <c r="B244">
        <v>25.650999369057999</v>
      </c>
      <c r="C244" t="s">
        <v>19</v>
      </c>
      <c r="D244">
        <v>27.01</v>
      </c>
    </row>
    <row r="245" spans="1:4" x14ac:dyDescent="0.25">
      <c r="A245" s="2">
        <v>43338</v>
      </c>
      <c r="B245">
        <v>25.769682084833299</v>
      </c>
      <c r="C245" t="s">
        <v>19</v>
      </c>
      <c r="D245">
        <v>27.129998999999899</v>
      </c>
    </row>
    <row r="246" spans="1:4" x14ac:dyDescent="0.25">
      <c r="A246" s="2">
        <v>43345</v>
      </c>
      <c r="B246">
        <v>25.6732971108102</v>
      </c>
      <c r="C246" t="s">
        <v>19</v>
      </c>
      <c r="D246">
        <v>26.5049999999999</v>
      </c>
    </row>
    <row r="247" spans="1:4" x14ac:dyDescent="0.25">
      <c r="A247" s="2">
        <v>43352</v>
      </c>
      <c r="B247">
        <v>24.909480419349599</v>
      </c>
      <c r="C247" t="s">
        <v>19</v>
      </c>
      <c r="D247">
        <v>26.020000499999998</v>
      </c>
    </row>
    <row r="248" spans="1:4" x14ac:dyDescent="0.25">
      <c r="A248" s="2">
        <v>43359</v>
      </c>
      <c r="B248">
        <v>24.872645210871202</v>
      </c>
      <c r="C248" t="s">
        <v>19</v>
      </c>
      <c r="D248">
        <v>26.115000999999999</v>
      </c>
    </row>
    <row r="249" spans="1:4" x14ac:dyDescent="0.25">
      <c r="A249" s="2">
        <v>43366</v>
      </c>
      <c r="B249">
        <v>25.137093123571301</v>
      </c>
      <c r="C249" t="s">
        <v>19</v>
      </c>
      <c r="D249">
        <v>27.075001</v>
      </c>
    </row>
    <row r="250" spans="1:4" x14ac:dyDescent="0.25">
      <c r="A250" s="2">
        <v>43373</v>
      </c>
      <c r="B250">
        <v>25.934877634557498</v>
      </c>
      <c r="C250" t="s">
        <v>19</v>
      </c>
      <c r="D250">
        <v>26.814999499999999</v>
      </c>
    </row>
    <row r="251" spans="1:4" x14ac:dyDescent="0.25">
      <c r="A251" s="2">
        <v>43380</v>
      </c>
      <c r="B251">
        <v>25.3470396176469</v>
      </c>
      <c r="C251" t="s">
        <v>19</v>
      </c>
      <c r="D251">
        <v>25.759999999999899</v>
      </c>
    </row>
    <row r="252" spans="1:4" x14ac:dyDescent="0.25">
      <c r="A252" s="2">
        <v>43387</v>
      </c>
      <c r="B252">
        <v>24.204773396543501</v>
      </c>
      <c r="C252" t="s">
        <v>19</v>
      </c>
      <c r="D252">
        <v>25.485000500000002</v>
      </c>
    </row>
    <row r="253" spans="1:4" x14ac:dyDescent="0.25">
      <c r="A253" s="2">
        <v>43394</v>
      </c>
      <c r="B253">
        <v>24.645973532934899</v>
      </c>
      <c r="C253" t="s">
        <v>19</v>
      </c>
      <c r="D253">
        <v>24.685000500000001</v>
      </c>
    </row>
    <row r="254" spans="1:4" x14ac:dyDescent="0.25">
      <c r="A254" s="2">
        <v>43401</v>
      </c>
      <c r="B254">
        <v>23.310467226151999</v>
      </c>
      <c r="C254" t="s">
        <v>19</v>
      </c>
      <c r="D254">
        <v>24.6350005</v>
      </c>
    </row>
    <row r="255" spans="1:4" x14ac:dyDescent="0.25">
      <c r="A255" s="2">
        <v>43408</v>
      </c>
      <c r="B255">
        <v>24.6297695559714</v>
      </c>
      <c r="C255" t="s">
        <v>19</v>
      </c>
      <c r="D255">
        <v>24.735000500000002</v>
      </c>
    </row>
    <row r="256" spans="1:4" x14ac:dyDescent="0.25">
      <c r="A256" s="2">
        <v>43415</v>
      </c>
      <c r="B256">
        <v>24.027751557180501</v>
      </c>
      <c r="C256" t="s">
        <v>19</v>
      </c>
      <c r="D256">
        <v>24.279999499999999</v>
      </c>
    </row>
    <row r="257" spans="1:4" x14ac:dyDescent="0.25">
      <c r="A257" s="2">
        <v>43422</v>
      </c>
      <c r="B257">
        <v>23.365368937681598</v>
      </c>
      <c r="C257" t="s">
        <v>19</v>
      </c>
      <c r="D257">
        <v>24.1499995</v>
      </c>
    </row>
    <row r="258" spans="1:4" x14ac:dyDescent="0.25">
      <c r="A258" s="2">
        <v>43429</v>
      </c>
      <c r="B258">
        <v>23.245585979681099</v>
      </c>
      <c r="C258" t="s">
        <v>19</v>
      </c>
      <c r="D258">
        <v>24.724999</v>
      </c>
    </row>
    <row r="259" spans="1:4" x14ac:dyDescent="0.25">
      <c r="A259" s="2">
        <v>43436</v>
      </c>
      <c r="B259">
        <v>24.221611233191702</v>
      </c>
      <c r="C259" t="s">
        <v>19</v>
      </c>
      <c r="D259">
        <v>25.445000499999999</v>
      </c>
    </row>
    <row r="260" spans="1:4" x14ac:dyDescent="0.25">
      <c r="A260" s="2">
        <v>43443</v>
      </c>
      <c r="B260">
        <v>24.304701676244701</v>
      </c>
      <c r="C260" t="s">
        <v>19</v>
      </c>
      <c r="D260">
        <v>24.630000500000001</v>
      </c>
    </row>
    <row r="261" spans="1:4" x14ac:dyDescent="0.25">
      <c r="A261" s="2">
        <v>43450</v>
      </c>
      <c r="B261">
        <v>23.824344181913901</v>
      </c>
      <c r="C261" t="s">
        <v>19</v>
      </c>
      <c r="D261">
        <v>24.524999999999999</v>
      </c>
    </row>
    <row r="262" spans="1:4" x14ac:dyDescent="0.25">
      <c r="A262" s="2">
        <v>43457</v>
      </c>
      <c r="B262">
        <v>23.792839703343098</v>
      </c>
      <c r="C262" t="s">
        <v>19</v>
      </c>
      <c r="D262">
        <v>24.319999499999899</v>
      </c>
    </row>
    <row r="263" spans="1:4" x14ac:dyDescent="0.25">
      <c r="A263" s="2">
        <v>43464</v>
      </c>
      <c r="B263">
        <v>24.308333602115901</v>
      </c>
      <c r="C263" t="s">
        <v>19</v>
      </c>
      <c r="D263">
        <v>24.2749995</v>
      </c>
    </row>
    <row r="264" spans="1:4" x14ac:dyDescent="0.25">
      <c r="A264" s="2">
        <v>43471</v>
      </c>
      <c r="B264">
        <v>23.661711107597501</v>
      </c>
      <c r="C264" t="s">
        <v>19</v>
      </c>
      <c r="D264">
        <v>25.450001</v>
      </c>
    </row>
    <row r="265" spans="1:4" x14ac:dyDescent="0.25">
      <c r="A265" s="2">
        <v>43478</v>
      </c>
      <c r="B265">
        <v>25.174822795183001</v>
      </c>
      <c r="C265" t="s">
        <v>19</v>
      </c>
      <c r="D265">
        <v>26.279999499999999</v>
      </c>
    </row>
    <row r="266" spans="1:4" x14ac:dyDescent="0.25">
      <c r="A266" s="2">
        <v>43485</v>
      </c>
      <c r="B266">
        <v>25.6177127233879</v>
      </c>
      <c r="C266" t="s">
        <v>19</v>
      </c>
      <c r="D266">
        <v>26.2600005</v>
      </c>
    </row>
    <row r="267" spans="1:4" x14ac:dyDescent="0.25">
      <c r="A267" s="2">
        <v>43492</v>
      </c>
      <c r="B267">
        <v>25.1274733265317</v>
      </c>
      <c r="C267" t="s">
        <v>19</v>
      </c>
      <c r="D267">
        <v>25.585000000000001</v>
      </c>
    </row>
    <row r="268" spans="1:4" x14ac:dyDescent="0.25">
      <c r="A268" s="2">
        <v>43499</v>
      </c>
      <c r="B268">
        <v>24.553007195505199</v>
      </c>
      <c r="C268" t="s">
        <v>19</v>
      </c>
      <c r="D268">
        <v>25.270000499999998</v>
      </c>
    </row>
    <row r="269" spans="1:4" x14ac:dyDescent="0.25">
      <c r="A269" s="2">
        <v>43506</v>
      </c>
      <c r="B269">
        <v>24.528107174360201</v>
      </c>
      <c r="C269" t="s">
        <v>19</v>
      </c>
      <c r="D269">
        <v>25.495000999999998</v>
      </c>
    </row>
    <row r="270" spans="1:4" x14ac:dyDescent="0.25">
      <c r="A270" s="2">
        <v>43513</v>
      </c>
      <c r="B270">
        <v>24.706269810951799</v>
      </c>
      <c r="C270" t="s">
        <v>19</v>
      </c>
      <c r="D270">
        <v>25.795000000000002</v>
      </c>
    </row>
    <row r="271" spans="1:4" x14ac:dyDescent="0.25">
      <c r="A271" s="2">
        <v>43520</v>
      </c>
      <c r="B271">
        <v>24.743462504276099</v>
      </c>
      <c r="C271" t="s">
        <v>19</v>
      </c>
      <c r="D271">
        <v>25.21</v>
      </c>
    </row>
    <row r="272" spans="1:4" x14ac:dyDescent="0.25">
      <c r="A272" s="2">
        <v>43527</v>
      </c>
      <c r="B272">
        <v>24.008201041407698</v>
      </c>
      <c r="C272" t="s">
        <v>19</v>
      </c>
      <c r="D272">
        <v>25.1149995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E1E25-8073-4109-A787-D7A2041B5575}">
  <sheetPr codeName="Sheet5"/>
  <dimension ref="A1:B10"/>
  <sheetViews>
    <sheetView workbookViewId="0"/>
  </sheetViews>
  <sheetFormatPr defaultRowHeight="15" x14ac:dyDescent="0.25"/>
  <cols>
    <col min="1" max="1" width="9.7109375" bestFit="1" customWidth="1"/>
    <col min="2" max="2" width="14.5703125" bestFit="1" customWidth="1"/>
  </cols>
  <sheetData>
    <row r="1" spans="1:2" x14ac:dyDescent="0.25">
      <c r="A1" t="s">
        <v>7</v>
      </c>
      <c r="B1" t="s">
        <v>9</v>
      </c>
    </row>
    <row r="2" spans="1:2" x14ac:dyDescent="0.25">
      <c r="A2" s="2">
        <v>43471</v>
      </c>
      <c r="B2">
        <v>2.2555932994186798</v>
      </c>
    </row>
    <row r="3" spans="1:2" x14ac:dyDescent="0.25">
      <c r="A3" s="2">
        <v>43478</v>
      </c>
      <c r="B3">
        <v>2.3016344378888598</v>
      </c>
    </row>
    <row r="4" spans="1:2" x14ac:dyDescent="0.25">
      <c r="A4" s="2">
        <v>43485</v>
      </c>
      <c r="B4">
        <v>2.2887405972182702</v>
      </c>
    </row>
    <row r="5" spans="1:2" x14ac:dyDescent="0.25">
      <c r="A5" s="2">
        <v>43492</v>
      </c>
      <c r="B5">
        <v>2.31060025349259</v>
      </c>
    </row>
    <row r="6" spans="1:2" x14ac:dyDescent="0.25">
      <c r="A6" s="2">
        <v>43499</v>
      </c>
      <c r="B6">
        <v>2.3280737842619401</v>
      </c>
    </row>
    <row r="7" spans="1:2" x14ac:dyDescent="0.25">
      <c r="A7" s="2">
        <v>43506</v>
      </c>
      <c r="B7">
        <v>2.3605768646299801</v>
      </c>
    </row>
    <row r="8" spans="1:2" x14ac:dyDescent="0.25">
      <c r="A8" s="2">
        <v>43513</v>
      </c>
      <c r="B8">
        <v>2.3371499995887199</v>
      </c>
    </row>
    <row r="9" spans="1:2" x14ac:dyDescent="0.25">
      <c r="A9" s="2">
        <v>43520</v>
      </c>
      <c r="B9">
        <v>2.3759844529628702</v>
      </c>
    </row>
    <row r="10" spans="1:2" x14ac:dyDescent="0.25">
      <c r="A10" s="2">
        <v>43527</v>
      </c>
      <c r="B10">
        <v>2.3627834717929299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59137-3F6D-45A8-992A-9FE93721D866}">
  <sheetPr codeName="Sheet6"/>
  <dimension ref="A1:D272"/>
  <sheetViews>
    <sheetView topLeftCell="A256" workbookViewId="0">
      <selection activeCell="A264" sqref="A264:B272"/>
    </sheetView>
  </sheetViews>
  <sheetFormatPr defaultRowHeight="15" x14ac:dyDescent="0.25"/>
  <sheetData>
    <row r="1" spans="1:4" x14ac:dyDescent="0.25">
      <c r="A1" t="s">
        <v>7</v>
      </c>
      <c r="B1" t="s">
        <v>15</v>
      </c>
      <c r="C1" t="s">
        <v>16</v>
      </c>
      <c r="D1" t="s">
        <v>17</v>
      </c>
    </row>
    <row r="2" spans="1:4" x14ac:dyDescent="0.25">
      <c r="A2" s="2">
        <v>41637</v>
      </c>
      <c r="B2" t="s">
        <v>8</v>
      </c>
      <c r="C2" t="s">
        <v>8</v>
      </c>
      <c r="D2">
        <v>1.8925000000000001</v>
      </c>
    </row>
    <row r="3" spans="1:4" x14ac:dyDescent="0.25">
      <c r="A3" s="2">
        <v>41644</v>
      </c>
      <c r="B3">
        <v>1.8801668338663799</v>
      </c>
      <c r="C3" t="s">
        <v>18</v>
      </c>
      <c r="D3">
        <v>1.88</v>
      </c>
    </row>
    <row r="4" spans="1:4" x14ac:dyDescent="0.25">
      <c r="A4" s="2">
        <v>41651</v>
      </c>
      <c r="B4">
        <v>1.8774965633824401</v>
      </c>
      <c r="C4" t="s">
        <v>18</v>
      </c>
      <c r="D4">
        <v>1.865</v>
      </c>
    </row>
    <row r="5" spans="1:4" x14ac:dyDescent="0.25">
      <c r="A5" s="2">
        <v>41658</v>
      </c>
      <c r="B5">
        <v>1.8764921914972299</v>
      </c>
      <c r="C5" t="s">
        <v>18</v>
      </c>
      <c r="D5">
        <v>1.885</v>
      </c>
    </row>
    <row r="6" spans="1:4" x14ac:dyDescent="0.25">
      <c r="A6" s="2">
        <v>41665</v>
      </c>
      <c r="B6">
        <v>1.8971920619904901</v>
      </c>
      <c r="C6" t="s">
        <v>18</v>
      </c>
      <c r="D6">
        <v>1.885</v>
      </c>
    </row>
    <row r="7" spans="1:4" x14ac:dyDescent="0.25">
      <c r="A7" s="2">
        <v>41672</v>
      </c>
      <c r="B7">
        <v>1.8876698120683399</v>
      </c>
      <c r="C7" t="s">
        <v>18</v>
      </c>
      <c r="D7">
        <v>1.8474999999999999</v>
      </c>
    </row>
    <row r="8" spans="1:4" x14ac:dyDescent="0.25">
      <c r="A8" s="2">
        <v>41679</v>
      </c>
      <c r="B8">
        <v>1.8561511201038901</v>
      </c>
      <c r="C8" t="s">
        <v>18</v>
      </c>
      <c r="D8">
        <v>1.8174999999999999</v>
      </c>
    </row>
    <row r="9" spans="1:4" x14ac:dyDescent="0.25">
      <c r="A9" s="2">
        <v>41686</v>
      </c>
      <c r="B9">
        <v>1.8419184956885799</v>
      </c>
      <c r="C9" t="s">
        <v>18</v>
      </c>
      <c r="D9">
        <v>1.85</v>
      </c>
    </row>
    <row r="10" spans="1:4" x14ac:dyDescent="0.25">
      <c r="A10" s="2">
        <v>41693</v>
      </c>
      <c r="B10">
        <v>1.8700864611379799</v>
      </c>
      <c r="C10" t="s">
        <v>18</v>
      </c>
      <c r="D10">
        <v>1.89</v>
      </c>
    </row>
    <row r="11" spans="1:4" x14ac:dyDescent="0.25">
      <c r="A11" s="2">
        <v>41700</v>
      </c>
      <c r="B11">
        <v>1.9016543428599799</v>
      </c>
      <c r="C11" t="s">
        <v>18</v>
      </c>
      <c r="D11">
        <v>1.92</v>
      </c>
    </row>
    <row r="12" spans="1:4" x14ac:dyDescent="0.25">
      <c r="A12" s="2">
        <v>41707</v>
      </c>
      <c r="B12">
        <v>1.92406200014054</v>
      </c>
      <c r="C12" t="s">
        <v>18</v>
      </c>
      <c r="D12">
        <v>1.8925000000000001</v>
      </c>
    </row>
    <row r="13" spans="1:4" x14ac:dyDescent="0.25">
      <c r="A13" s="2">
        <v>41714</v>
      </c>
      <c r="B13">
        <v>1.8977327249199101</v>
      </c>
      <c r="C13" t="s">
        <v>18</v>
      </c>
      <c r="D13">
        <v>1.8875</v>
      </c>
    </row>
    <row r="14" spans="1:4" x14ac:dyDescent="0.25">
      <c r="A14" s="2">
        <v>41721</v>
      </c>
      <c r="B14">
        <v>1.8965623929351501</v>
      </c>
      <c r="C14" t="s">
        <v>18</v>
      </c>
      <c r="D14">
        <v>1.89</v>
      </c>
    </row>
    <row r="15" spans="1:4" x14ac:dyDescent="0.25">
      <c r="A15" s="2">
        <v>41728</v>
      </c>
      <c r="B15">
        <v>1.9045306499302299</v>
      </c>
      <c r="C15" t="s">
        <v>18</v>
      </c>
      <c r="D15">
        <v>1.925</v>
      </c>
    </row>
    <row r="16" spans="1:4" x14ac:dyDescent="0.25">
      <c r="A16" s="2">
        <v>41735</v>
      </c>
      <c r="B16">
        <v>1.93663500074297</v>
      </c>
      <c r="C16" t="s">
        <v>18</v>
      </c>
      <c r="D16">
        <v>1.96</v>
      </c>
    </row>
    <row r="17" spans="1:4" x14ac:dyDescent="0.25">
      <c r="A17" s="2">
        <v>41742</v>
      </c>
      <c r="B17">
        <v>1.96524839840829</v>
      </c>
      <c r="C17" t="s">
        <v>18</v>
      </c>
      <c r="D17">
        <v>1.98</v>
      </c>
    </row>
    <row r="18" spans="1:4" x14ac:dyDescent="0.25">
      <c r="A18" s="2">
        <v>41749</v>
      </c>
      <c r="B18">
        <v>1.99006212346255</v>
      </c>
      <c r="C18" t="s">
        <v>18</v>
      </c>
      <c r="D18">
        <v>1.98999999999999</v>
      </c>
    </row>
    <row r="19" spans="1:4" x14ac:dyDescent="0.25">
      <c r="A19" s="2">
        <v>41756</v>
      </c>
      <c r="B19">
        <v>1.9792801886051801</v>
      </c>
      <c r="C19" t="s">
        <v>18</v>
      </c>
      <c r="D19">
        <v>1.9824999999999999</v>
      </c>
    </row>
    <row r="20" spans="1:4" x14ac:dyDescent="0.25">
      <c r="A20" s="2">
        <v>41763</v>
      </c>
      <c r="B20">
        <v>1.98732971206307</v>
      </c>
      <c r="C20" t="s">
        <v>18</v>
      </c>
      <c r="D20">
        <v>2.0175000000000001</v>
      </c>
    </row>
    <row r="21" spans="1:4" x14ac:dyDescent="0.25">
      <c r="A21" s="2">
        <v>41770</v>
      </c>
      <c r="B21">
        <v>2.0092119484394702</v>
      </c>
      <c r="C21" t="s">
        <v>18</v>
      </c>
      <c r="D21">
        <v>2.0175000000000001</v>
      </c>
    </row>
    <row r="22" spans="1:4" x14ac:dyDescent="0.25">
      <c r="A22" s="2">
        <v>41777</v>
      </c>
      <c r="B22">
        <v>2.01645879216492</v>
      </c>
      <c r="C22" t="s">
        <v>18</v>
      </c>
      <c r="D22">
        <v>2.0249999999999999</v>
      </c>
    </row>
    <row r="23" spans="1:4" x14ac:dyDescent="0.25">
      <c r="A23" s="2">
        <v>41784</v>
      </c>
      <c r="B23">
        <v>2.0247301555424899</v>
      </c>
      <c r="C23" t="s">
        <v>18</v>
      </c>
      <c r="D23">
        <v>2.06</v>
      </c>
    </row>
    <row r="24" spans="1:4" x14ac:dyDescent="0.25">
      <c r="A24" s="2">
        <v>41791</v>
      </c>
      <c r="B24">
        <v>2.0571529916673899</v>
      </c>
      <c r="C24" t="s">
        <v>18</v>
      </c>
      <c r="D24">
        <v>2.0350000000000001</v>
      </c>
    </row>
    <row r="25" spans="1:4" x14ac:dyDescent="0.25">
      <c r="A25" s="2">
        <v>41798</v>
      </c>
      <c r="B25">
        <v>2.0116125947982</v>
      </c>
      <c r="C25" t="s">
        <v>18</v>
      </c>
      <c r="D25">
        <v>2</v>
      </c>
    </row>
    <row r="26" spans="1:4" x14ac:dyDescent="0.25">
      <c r="A26" s="2">
        <v>41805</v>
      </c>
      <c r="B26">
        <v>1.9856710876524399</v>
      </c>
      <c r="C26" t="s">
        <v>18</v>
      </c>
      <c r="D26">
        <v>1.9675</v>
      </c>
    </row>
    <row r="27" spans="1:4" x14ac:dyDescent="0.25">
      <c r="A27" s="2">
        <v>41812</v>
      </c>
      <c r="B27">
        <v>1.96308529946953</v>
      </c>
      <c r="C27" t="s">
        <v>18</v>
      </c>
      <c r="D27">
        <v>1.9675</v>
      </c>
    </row>
    <row r="28" spans="1:4" x14ac:dyDescent="0.25">
      <c r="A28" s="2">
        <v>41819</v>
      </c>
      <c r="B28">
        <v>1.9647213163971899</v>
      </c>
      <c r="C28" t="s">
        <v>18</v>
      </c>
      <c r="D28">
        <v>1.9550000000000001</v>
      </c>
    </row>
    <row r="29" spans="1:4" x14ac:dyDescent="0.25">
      <c r="A29" s="2">
        <v>41826</v>
      </c>
      <c r="B29">
        <v>1.9492221298813801</v>
      </c>
      <c r="C29" t="s">
        <v>18</v>
      </c>
      <c r="D29">
        <v>1.9424999999999999</v>
      </c>
    </row>
    <row r="30" spans="1:4" x14ac:dyDescent="0.25">
      <c r="A30" s="2">
        <v>41833</v>
      </c>
      <c r="B30">
        <v>1.9456093500554501</v>
      </c>
      <c r="C30" t="s">
        <v>18</v>
      </c>
      <c r="D30">
        <v>1.9724999999999999</v>
      </c>
    </row>
    <row r="31" spans="1:4" x14ac:dyDescent="0.25">
      <c r="A31" s="2">
        <v>41840</v>
      </c>
      <c r="B31">
        <v>1.9731850031018201</v>
      </c>
      <c r="C31" t="s">
        <v>18</v>
      </c>
      <c r="D31">
        <v>1.9950000000000001</v>
      </c>
    </row>
    <row r="32" spans="1:4" x14ac:dyDescent="0.25">
      <c r="A32" s="2">
        <v>41847</v>
      </c>
      <c r="B32">
        <v>1.99453407891094</v>
      </c>
      <c r="C32" t="s">
        <v>18</v>
      </c>
      <c r="D32">
        <v>1.9824999999999999</v>
      </c>
    </row>
    <row r="33" spans="1:4" x14ac:dyDescent="0.25">
      <c r="A33" s="2">
        <v>41854</v>
      </c>
      <c r="B33">
        <v>1.9698179393261599</v>
      </c>
      <c r="C33" t="s">
        <v>18</v>
      </c>
      <c r="D33">
        <v>1.98</v>
      </c>
    </row>
    <row r="34" spans="1:4" x14ac:dyDescent="0.25">
      <c r="A34" s="2">
        <v>41861</v>
      </c>
      <c r="B34">
        <v>1.96861945979297</v>
      </c>
      <c r="C34" t="s">
        <v>18</v>
      </c>
      <c r="D34">
        <v>1.9724999999999999</v>
      </c>
    </row>
    <row r="35" spans="1:4" x14ac:dyDescent="0.25">
      <c r="A35" s="2">
        <v>41868</v>
      </c>
      <c r="B35">
        <v>1.96498603478074</v>
      </c>
      <c r="C35" t="s">
        <v>18</v>
      </c>
      <c r="D35">
        <v>1.9924999999999999</v>
      </c>
    </row>
    <row r="36" spans="1:4" x14ac:dyDescent="0.25">
      <c r="A36" s="2">
        <v>41875</v>
      </c>
      <c r="B36">
        <v>1.98872973315417</v>
      </c>
      <c r="C36" t="s">
        <v>18</v>
      </c>
      <c r="D36">
        <v>2.0049999999999999</v>
      </c>
    </row>
    <row r="37" spans="1:4" x14ac:dyDescent="0.25">
      <c r="A37" s="2">
        <v>41882</v>
      </c>
      <c r="B37">
        <v>1.99241565644741</v>
      </c>
      <c r="C37" t="s">
        <v>18</v>
      </c>
      <c r="D37">
        <v>1.9950000000000001</v>
      </c>
    </row>
    <row r="38" spans="1:4" x14ac:dyDescent="0.25">
      <c r="A38" s="2">
        <v>41889</v>
      </c>
      <c r="B38">
        <v>1.9819895087927499</v>
      </c>
      <c r="C38" t="s">
        <v>18</v>
      </c>
      <c r="D38">
        <v>2.0024999999999999</v>
      </c>
    </row>
    <row r="39" spans="1:4" x14ac:dyDescent="0.25">
      <c r="A39" s="2">
        <v>41896</v>
      </c>
      <c r="B39">
        <v>1.99132430918514</v>
      </c>
      <c r="C39" t="s">
        <v>18</v>
      </c>
      <c r="D39">
        <v>1.9575</v>
      </c>
    </row>
    <row r="40" spans="1:4" x14ac:dyDescent="0.25">
      <c r="A40" s="2">
        <v>41903</v>
      </c>
      <c r="B40">
        <v>1.94244116276502</v>
      </c>
      <c r="C40" t="s">
        <v>18</v>
      </c>
      <c r="D40">
        <v>1.9175</v>
      </c>
    </row>
    <row r="41" spans="1:4" x14ac:dyDescent="0.25">
      <c r="A41" s="2">
        <v>41910</v>
      </c>
      <c r="B41">
        <v>1.91876458406448</v>
      </c>
      <c r="C41" t="s">
        <v>18</v>
      </c>
      <c r="D41">
        <v>1.9275</v>
      </c>
    </row>
    <row r="42" spans="1:4" x14ac:dyDescent="0.25">
      <c r="A42" s="2">
        <v>41917</v>
      </c>
      <c r="B42">
        <v>1.9260847537964501</v>
      </c>
      <c r="C42" t="s">
        <v>18</v>
      </c>
      <c r="D42">
        <v>1.92</v>
      </c>
    </row>
    <row r="43" spans="1:4" x14ac:dyDescent="0.25">
      <c r="A43" s="2">
        <v>41924</v>
      </c>
      <c r="B43">
        <v>1.9190893487259699</v>
      </c>
      <c r="C43" t="s">
        <v>18</v>
      </c>
      <c r="D43">
        <v>1.91</v>
      </c>
    </row>
    <row r="44" spans="1:4" x14ac:dyDescent="0.25">
      <c r="A44" s="2">
        <v>41931</v>
      </c>
      <c r="B44">
        <v>1.93268345549702</v>
      </c>
      <c r="C44" t="s">
        <v>18</v>
      </c>
      <c r="D44">
        <v>1.9575</v>
      </c>
    </row>
    <row r="45" spans="1:4" x14ac:dyDescent="0.25">
      <c r="A45" s="2">
        <v>41938</v>
      </c>
      <c r="B45">
        <v>1.9591900675743801</v>
      </c>
      <c r="C45" t="s">
        <v>18</v>
      </c>
      <c r="D45">
        <v>1.96</v>
      </c>
    </row>
    <row r="46" spans="1:4" x14ac:dyDescent="0.25">
      <c r="A46" s="2">
        <v>41945</v>
      </c>
      <c r="B46">
        <v>1.9623778595775301</v>
      </c>
      <c r="C46" t="s">
        <v>18</v>
      </c>
      <c r="D46">
        <v>1.96</v>
      </c>
    </row>
    <row r="47" spans="1:4" x14ac:dyDescent="0.25">
      <c r="A47" s="2">
        <v>41952</v>
      </c>
      <c r="B47">
        <v>1.94789596416056</v>
      </c>
      <c r="C47" t="s">
        <v>18</v>
      </c>
      <c r="D47">
        <v>1.97</v>
      </c>
    </row>
    <row r="48" spans="1:4" x14ac:dyDescent="0.25">
      <c r="A48" s="2">
        <v>41959</v>
      </c>
      <c r="B48">
        <v>1.9647878336906399</v>
      </c>
      <c r="C48" t="s">
        <v>18</v>
      </c>
      <c r="D48">
        <v>1.9749999999999901</v>
      </c>
    </row>
    <row r="49" spans="1:4" x14ac:dyDescent="0.25">
      <c r="A49" s="2">
        <v>41966</v>
      </c>
      <c r="B49">
        <v>1.9654952553287099</v>
      </c>
      <c r="C49" t="s">
        <v>18</v>
      </c>
      <c r="D49">
        <v>1.9875</v>
      </c>
    </row>
    <row r="50" spans="1:4" x14ac:dyDescent="0.25">
      <c r="A50" s="2">
        <v>41973</v>
      </c>
      <c r="B50">
        <v>1.97995222501456</v>
      </c>
      <c r="C50" t="s">
        <v>18</v>
      </c>
      <c r="D50">
        <v>1.9775</v>
      </c>
    </row>
    <row r="51" spans="1:4" x14ac:dyDescent="0.25">
      <c r="A51" s="2">
        <v>41980</v>
      </c>
      <c r="B51">
        <v>1.9718577056378099</v>
      </c>
      <c r="C51" t="s">
        <v>18</v>
      </c>
      <c r="D51">
        <v>1.9924999999999999</v>
      </c>
    </row>
    <row r="52" spans="1:4" x14ac:dyDescent="0.25">
      <c r="A52" s="2">
        <v>41987</v>
      </c>
      <c r="B52">
        <v>1.9945591963082501</v>
      </c>
      <c r="C52" t="s">
        <v>18</v>
      </c>
      <c r="D52">
        <v>2.0074999999999998</v>
      </c>
    </row>
    <row r="53" spans="1:4" x14ac:dyDescent="0.25">
      <c r="A53" s="2">
        <v>41994</v>
      </c>
      <c r="B53">
        <v>2.0016388706117798</v>
      </c>
      <c r="C53" t="s">
        <v>18</v>
      </c>
      <c r="D53">
        <v>2.0150000000000001</v>
      </c>
    </row>
    <row r="54" spans="1:4" x14ac:dyDescent="0.25">
      <c r="A54" s="2">
        <v>42001</v>
      </c>
      <c r="B54">
        <v>2.0167286581545998</v>
      </c>
      <c r="C54" t="s">
        <v>18</v>
      </c>
      <c r="D54">
        <v>2.0299999999999998</v>
      </c>
    </row>
    <row r="55" spans="1:4" x14ac:dyDescent="0.25">
      <c r="A55" s="2">
        <v>42008</v>
      </c>
      <c r="B55">
        <v>2.0191241934150401</v>
      </c>
      <c r="C55" t="s">
        <v>18</v>
      </c>
      <c r="D55">
        <v>2.0449999999999999</v>
      </c>
    </row>
    <row r="56" spans="1:4" x14ac:dyDescent="0.25">
      <c r="A56" s="2">
        <v>42015</v>
      </c>
      <c r="B56">
        <v>2.0407527550309799</v>
      </c>
      <c r="C56" t="s">
        <v>18</v>
      </c>
      <c r="D56">
        <v>2.125</v>
      </c>
    </row>
    <row r="57" spans="1:4" x14ac:dyDescent="0.25">
      <c r="A57" s="2">
        <v>42022</v>
      </c>
      <c r="B57">
        <v>2.14194613054394</v>
      </c>
      <c r="C57" t="s">
        <v>18</v>
      </c>
      <c r="D57">
        <v>2.1949999999999998</v>
      </c>
    </row>
    <row r="58" spans="1:4" x14ac:dyDescent="0.25">
      <c r="A58" s="2">
        <v>42029</v>
      </c>
      <c r="B58">
        <v>2.20657896205782</v>
      </c>
      <c r="C58" t="s">
        <v>18</v>
      </c>
      <c r="D58">
        <v>2.17</v>
      </c>
    </row>
    <row r="59" spans="1:4" x14ac:dyDescent="0.25">
      <c r="A59" s="2">
        <v>42036</v>
      </c>
      <c r="B59">
        <v>2.1260443720221498</v>
      </c>
      <c r="C59" t="s">
        <v>18</v>
      </c>
      <c r="D59">
        <v>2.125</v>
      </c>
    </row>
    <row r="60" spans="1:4" x14ac:dyDescent="0.25">
      <c r="A60" s="2">
        <v>42043</v>
      </c>
      <c r="B60">
        <v>2.1385212200880002</v>
      </c>
      <c r="C60" t="s">
        <v>18</v>
      </c>
      <c r="D60">
        <v>2.14</v>
      </c>
    </row>
    <row r="61" spans="1:4" x14ac:dyDescent="0.25">
      <c r="A61" s="2">
        <v>42050</v>
      </c>
      <c r="B61">
        <v>2.11682196103036</v>
      </c>
      <c r="C61" t="s">
        <v>18</v>
      </c>
      <c r="D61">
        <v>2.1150000000000002</v>
      </c>
    </row>
    <row r="62" spans="1:4" x14ac:dyDescent="0.25">
      <c r="A62" s="2">
        <v>42057</v>
      </c>
      <c r="B62">
        <v>2.1103724851459198</v>
      </c>
      <c r="C62" t="s">
        <v>18</v>
      </c>
      <c r="D62">
        <v>2.1349999999999998</v>
      </c>
    </row>
    <row r="63" spans="1:4" x14ac:dyDescent="0.25">
      <c r="A63" s="2">
        <v>42064</v>
      </c>
      <c r="B63">
        <v>2.1057467769086302</v>
      </c>
      <c r="C63" t="s">
        <v>18</v>
      </c>
      <c r="D63">
        <v>2.145</v>
      </c>
    </row>
    <row r="64" spans="1:4" x14ac:dyDescent="0.25">
      <c r="A64" s="2">
        <v>42071</v>
      </c>
      <c r="B64">
        <v>2.1161145120114</v>
      </c>
      <c r="C64" t="s">
        <v>18</v>
      </c>
      <c r="D64">
        <v>2.085</v>
      </c>
    </row>
    <row r="65" spans="1:4" x14ac:dyDescent="0.25">
      <c r="A65" s="2">
        <v>42078</v>
      </c>
      <c r="B65">
        <v>2.0918857886642201</v>
      </c>
      <c r="C65" t="s">
        <v>18</v>
      </c>
      <c r="D65">
        <v>2.1150000000000002</v>
      </c>
    </row>
    <row r="66" spans="1:4" x14ac:dyDescent="0.25">
      <c r="A66" s="2">
        <v>42085</v>
      </c>
      <c r="B66">
        <v>2.1227736889570901</v>
      </c>
      <c r="C66" t="s">
        <v>18</v>
      </c>
      <c r="D66">
        <v>2.17</v>
      </c>
    </row>
    <row r="67" spans="1:4" x14ac:dyDescent="0.25">
      <c r="A67" s="2">
        <v>42092</v>
      </c>
      <c r="B67">
        <v>2.1525865975022298</v>
      </c>
      <c r="C67" t="s">
        <v>18</v>
      </c>
      <c r="D67">
        <v>2.2000000000000002</v>
      </c>
    </row>
    <row r="68" spans="1:4" x14ac:dyDescent="0.25">
      <c r="A68" s="2">
        <v>42099</v>
      </c>
      <c r="B68">
        <v>2.1909182648360699</v>
      </c>
      <c r="C68" t="s">
        <v>18</v>
      </c>
      <c r="D68">
        <v>2.2450000000000001</v>
      </c>
    </row>
    <row r="69" spans="1:4" x14ac:dyDescent="0.25">
      <c r="A69" s="2">
        <v>42106</v>
      </c>
      <c r="B69">
        <v>2.2062885786592901</v>
      </c>
      <c r="C69" t="s">
        <v>18</v>
      </c>
      <c r="D69">
        <v>2.23</v>
      </c>
    </row>
    <row r="70" spans="1:4" x14ac:dyDescent="0.25">
      <c r="A70" s="2">
        <v>42113</v>
      </c>
      <c r="B70">
        <v>2.2107586722075898</v>
      </c>
      <c r="C70" t="s">
        <v>18</v>
      </c>
      <c r="D70">
        <v>2.2400000000000002</v>
      </c>
    </row>
    <row r="71" spans="1:4" x14ac:dyDescent="0.25">
      <c r="A71" s="2">
        <v>42120</v>
      </c>
      <c r="B71">
        <v>2.2269827950000698</v>
      </c>
      <c r="C71" t="s">
        <v>18</v>
      </c>
      <c r="D71">
        <v>2.2000000000000002</v>
      </c>
    </row>
    <row r="72" spans="1:4" x14ac:dyDescent="0.25">
      <c r="A72" s="2">
        <v>42127</v>
      </c>
      <c r="B72">
        <v>2.1712163317203501</v>
      </c>
      <c r="C72" t="s">
        <v>18</v>
      </c>
      <c r="D72">
        <v>2.145</v>
      </c>
    </row>
    <row r="73" spans="1:4" x14ac:dyDescent="0.25">
      <c r="A73" s="2">
        <v>42134</v>
      </c>
      <c r="B73">
        <v>2.12475652128458</v>
      </c>
      <c r="C73" t="s">
        <v>18</v>
      </c>
      <c r="D73">
        <v>2.16</v>
      </c>
    </row>
    <row r="74" spans="1:4" x14ac:dyDescent="0.25">
      <c r="A74" s="2">
        <v>42141</v>
      </c>
      <c r="B74">
        <v>2.15352090626955</v>
      </c>
      <c r="C74" t="s">
        <v>18</v>
      </c>
      <c r="D74">
        <v>2.2050000000000001</v>
      </c>
    </row>
    <row r="75" spans="1:4" x14ac:dyDescent="0.25">
      <c r="A75" s="2">
        <v>42148</v>
      </c>
      <c r="B75">
        <v>2.1828360851109001</v>
      </c>
      <c r="C75" t="s">
        <v>18</v>
      </c>
      <c r="D75">
        <v>2.1949999999999998</v>
      </c>
    </row>
    <row r="76" spans="1:4" x14ac:dyDescent="0.25">
      <c r="A76" s="2">
        <v>42155</v>
      </c>
      <c r="B76">
        <v>2.1633198308944701</v>
      </c>
      <c r="C76" t="s">
        <v>18</v>
      </c>
      <c r="D76">
        <v>2.16</v>
      </c>
    </row>
    <row r="77" spans="1:4" x14ac:dyDescent="0.25">
      <c r="A77" s="2">
        <v>42162</v>
      </c>
      <c r="B77">
        <v>2.1188366281986202</v>
      </c>
      <c r="C77" t="s">
        <v>18</v>
      </c>
      <c r="D77">
        <v>2.105</v>
      </c>
    </row>
    <row r="78" spans="1:4" x14ac:dyDescent="0.25">
      <c r="A78" s="2">
        <v>42169</v>
      </c>
      <c r="B78">
        <v>2.0992183163017</v>
      </c>
      <c r="C78" t="s">
        <v>18</v>
      </c>
      <c r="D78">
        <v>2.12</v>
      </c>
    </row>
    <row r="79" spans="1:4" x14ac:dyDescent="0.25">
      <c r="A79" s="2">
        <v>42176</v>
      </c>
      <c r="B79">
        <v>2.1016543935239298</v>
      </c>
      <c r="C79" t="s">
        <v>18</v>
      </c>
      <c r="D79">
        <v>2.12</v>
      </c>
    </row>
    <row r="80" spans="1:4" x14ac:dyDescent="0.25">
      <c r="A80" s="2">
        <v>42183</v>
      </c>
      <c r="B80">
        <v>2.1255666668713</v>
      </c>
      <c r="C80" t="s">
        <v>18</v>
      </c>
      <c r="D80">
        <v>2.13</v>
      </c>
    </row>
    <row r="81" spans="1:4" x14ac:dyDescent="0.25">
      <c r="A81" s="2">
        <v>42190</v>
      </c>
      <c r="B81">
        <v>2.1265450771152898</v>
      </c>
      <c r="C81" t="s">
        <v>18</v>
      </c>
      <c r="D81">
        <v>2.16</v>
      </c>
    </row>
    <row r="82" spans="1:4" x14ac:dyDescent="0.25">
      <c r="A82" s="2">
        <v>42197</v>
      </c>
      <c r="B82">
        <v>2.1256926554441402</v>
      </c>
      <c r="C82" t="s">
        <v>18</v>
      </c>
      <c r="D82">
        <v>2.1549999999999998</v>
      </c>
    </row>
    <row r="83" spans="1:4" x14ac:dyDescent="0.25">
      <c r="A83" s="2">
        <v>42204</v>
      </c>
      <c r="B83">
        <v>2.1367950196564198</v>
      </c>
      <c r="C83" t="s">
        <v>18</v>
      </c>
      <c r="D83">
        <v>2.1549999999999998</v>
      </c>
    </row>
    <row r="84" spans="1:4" x14ac:dyDescent="0.25">
      <c r="A84" s="2">
        <v>42211</v>
      </c>
      <c r="B84">
        <v>2.1325359414517799</v>
      </c>
      <c r="C84" t="s">
        <v>18</v>
      </c>
      <c r="D84">
        <v>2.0750000000000002</v>
      </c>
    </row>
    <row r="85" spans="1:4" x14ac:dyDescent="0.25">
      <c r="A85" s="2">
        <v>42218</v>
      </c>
      <c r="B85">
        <v>2.0311216569691801</v>
      </c>
      <c r="C85" t="s">
        <v>18</v>
      </c>
      <c r="D85">
        <v>2.0499999999999998</v>
      </c>
    </row>
    <row r="86" spans="1:4" x14ac:dyDescent="0.25">
      <c r="A86" s="2">
        <v>42225</v>
      </c>
      <c r="B86">
        <v>2.0477808985113999</v>
      </c>
      <c r="C86" t="s">
        <v>18</v>
      </c>
      <c r="D86">
        <v>2.0099999999999998</v>
      </c>
    </row>
    <row r="87" spans="1:4" x14ac:dyDescent="0.25">
      <c r="A87" s="2">
        <v>42232</v>
      </c>
      <c r="B87">
        <v>1.9873449540883299</v>
      </c>
      <c r="C87" t="s">
        <v>18</v>
      </c>
      <c r="D87">
        <v>1.9324999999999899</v>
      </c>
    </row>
    <row r="88" spans="1:4" x14ac:dyDescent="0.25">
      <c r="A88" s="2">
        <v>42239</v>
      </c>
      <c r="B88">
        <v>1.9227572736516501</v>
      </c>
      <c r="C88" t="s">
        <v>18</v>
      </c>
      <c r="D88">
        <v>1.9175</v>
      </c>
    </row>
    <row r="89" spans="1:4" x14ac:dyDescent="0.25">
      <c r="A89" s="2">
        <v>42246</v>
      </c>
      <c r="B89">
        <v>1.93421436633914</v>
      </c>
      <c r="C89" t="s">
        <v>18</v>
      </c>
      <c r="D89">
        <v>1.925</v>
      </c>
    </row>
    <row r="90" spans="1:4" x14ac:dyDescent="0.25">
      <c r="A90" s="2">
        <v>42253</v>
      </c>
      <c r="B90">
        <v>1.9213147848099399</v>
      </c>
      <c r="C90" t="s">
        <v>18</v>
      </c>
      <c r="D90">
        <v>1.89</v>
      </c>
    </row>
    <row r="91" spans="1:4" x14ac:dyDescent="0.25">
      <c r="A91" s="2">
        <v>42260</v>
      </c>
      <c r="B91">
        <v>1.89971971001476</v>
      </c>
      <c r="C91" t="s">
        <v>18</v>
      </c>
      <c r="D91">
        <v>1.915</v>
      </c>
    </row>
    <row r="92" spans="1:4" x14ac:dyDescent="0.25">
      <c r="A92" s="2">
        <v>42267</v>
      </c>
      <c r="B92">
        <v>1.89603525616228</v>
      </c>
      <c r="C92" t="s">
        <v>18</v>
      </c>
      <c r="D92">
        <v>1.9075</v>
      </c>
    </row>
    <row r="93" spans="1:4" x14ac:dyDescent="0.25">
      <c r="A93" s="2">
        <v>42274</v>
      </c>
      <c r="B93">
        <v>1.91254803735762</v>
      </c>
      <c r="C93" t="s">
        <v>18</v>
      </c>
      <c r="D93">
        <v>1.89</v>
      </c>
    </row>
    <row r="94" spans="1:4" x14ac:dyDescent="0.25">
      <c r="A94" s="2">
        <v>42281</v>
      </c>
      <c r="B94">
        <v>1.90184767015278</v>
      </c>
      <c r="C94" t="s">
        <v>18</v>
      </c>
      <c r="D94">
        <v>1.9575</v>
      </c>
    </row>
    <row r="95" spans="1:4" x14ac:dyDescent="0.25">
      <c r="A95" s="2">
        <v>42288</v>
      </c>
      <c r="B95">
        <v>1.96677510172128</v>
      </c>
      <c r="C95" t="s">
        <v>18</v>
      </c>
      <c r="D95">
        <v>2.0125000000000002</v>
      </c>
    </row>
    <row r="96" spans="1:4" x14ac:dyDescent="0.25">
      <c r="A96" s="2">
        <v>42295</v>
      </c>
      <c r="B96">
        <v>2.01485589697957</v>
      </c>
      <c r="C96" t="s">
        <v>18</v>
      </c>
      <c r="D96">
        <v>2.0449999999999999</v>
      </c>
    </row>
    <row r="97" spans="1:4" x14ac:dyDescent="0.25">
      <c r="A97" s="2">
        <v>42302</v>
      </c>
      <c r="B97">
        <v>2.0389247524738301</v>
      </c>
      <c r="C97" t="s">
        <v>18</v>
      </c>
      <c r="D97">
        <v>2.0249999999999999</v>
      </c>
    </row>
    <row r="98" spans="1:4" x14ac:dyDescent="0.25">
      <c r="A98" s="2">
        <v>42309</v>
      </c>
      <c r="B98">
        <v>1.9876569501310499</v>
      </c>
      <c r="C98" t="s">
        <v>18</v>
      </c>
      <c r="D98">
        <v>1.9624999999999999</v>
      </c>
    </row>
    <row r="99" spans="1:4" x14ac:dyDescent="0.25">
      <c r="A99" s="2">
        <v>42316</v>
      </c>
      <c r="B99">
        <v>1.93537455826997</v>
      </c>
      <c r="C99" t="s">
        <v>18</v>
      </c>
      <c r="D99">
        <v>1.9175</v>
      </c>
    </row>
    <row r="100" spans="1:4" x14ac:dyDescent="0.25">
      <c r="A100" s="2">
        <v>42323</v>
      </c>
      <c r="B100">
        <v>1.8906829596683301</v>
      </c>
      <c r="C100" t="s">
        <v>18</v>
      </c>
      <c r="D100">
        <v>1.8725000000000001</v>
      </c>
    </row>
    <row r="101" spans="1:4" x14ac:dyDescent="0.25">
      <c r="A101" s="2">
        <v>42330</v>
      </c>
      <c r="B101">
        <v>1.87028980983421</v>
      </c>
      <c r="C101" t="s">
        <v>18</v>
      </c>
      <c r="D101">
        <v>1.885</v>
      </c>
    </row>
    <row r="102" spans="1:4" x14ac:dyDescent="0.25">
      <c r="A102" s="2">
        <v>42337</v>
      </c>
      <c r="B102">
        <v>1.88733072264119</v>
      </c>
      <c r="C102" t="s">
        <v>18</v>
      </c>
      <c r="D102">
        <v>1.9524999999999999</v>
      </c>
    </row>
    <row r="103" spans="1:4" x14ac:dyDescent="0.25">
      <c r="A103" s="2">
        <v>42344</v>
      </c>
      <c r="B103">
        <v>1.91306419439613</v>
      </c>
      <c r="C103" t="s">
        <v>18</v>
      </c>
      <c r="D103">
        <v>1.9</v>
      </c>
    </row>
    <row r="104" spans="1:4" x14ac:dyDescent="0.25">
      <c r="A104" s="2">
        <v>42351</v>
      </c>
      <c r="B104">
        <v>1.8908831915073001</v>
      </c>
      <c r="C104" t="s">
        <v>18</v>
      </c>
      <c r="D104">
        <v>1.9</v>
      </c>
    </row>
    <row r="105" spans="1:4" x14ac:dyDescent="0.25">
      <c r="A105" s="2">
        <v>42358</v>
      </c>
      <c r="B105">
        <v>1.91999175876379</v>
      </c>
      <c r="C105" t="s">
        <v>18</v>
      </c>
      <c r="D105">
        <v>1.93</v>
      </c>
    </row>
    <row r="106" spans="1:4" x14ac:dyDescent="0.25">
      <c r="A106" s="2">
        <v>42365</v>
      </c>
      <c r="B106">
        <v>1.9431893089041099</v>
      </c>
      <c r="C106" t="s">
        <v>18</v>
      </c>
      <c r="D106">
        <v>1.94</v>
      </c>
    </row>
    <row r="107" spans="1:4" x14ac:dyDescent="0.25">
      <c r="A107" s="2">
        <v>42372</v>
      </c>
      <c r="B107">
        <v>1.92443312063813</v>
      </c>
      <c r="C107" t="s">
        <v>18</v>
      </c>
      <c r="D107">
        <v>1.925</v>
      </c>
    </row>
    <row r="108" spans="1:4" x14ac:dyDescent="0.25">
      <c r="A108" s="2">
        <v>42379</v>
      </c>
      <c r="B108">
        <v>1.9005775987356901</v>
      </c>
      <c r="C108" t="s">
        <v>18</v>
      </c>
      <c r="D108">
        <v>1.8975</v>
      </c>
    </row>
    <row r="109" spans="1:4" x14ac:dyDescent="0.25">
      <c r="A109" s="2">
        <v>42386</v>
      </c>
      <c r="B109">
        <v>1.9031319157406601</v>
      </c>
      <c r="C109" t="s">
        <v>18</v>
      </c>
      <c r="D109">
        <v>1.9225000000000001</v>
      </c>
    </row>
    <row r="110" spans="1:4" x14ac:dyDescent="0.25">
      <c r="A110" s="2">
        <v>42393</v>
      </c>
      <c r="B110">
        <v>1.94771004796028</v>
      </c>
      <c r="C110" t="s">
        <v>18</v>
      </c>
      <c r="D110">
        <v>1.9775</v>
      </c>
    </row>
    <row r="111" spans="1:4" x14ac:dyDescent="0.25">
      <c r="A111" s="2">
        <v>42400</v>
      </c>
      <c r="B111">
        <v>1.98521169118583</v>
      </c>
      <c r="C111" t="s">
        <v>18</v>
      </c>
      <c r="D111">
        <v>2.0299999999999998</v>
      </c>
    </row>
    <row r="112" spans="1:4" x14ac:dyDescent="0.25">
      <c r="A112" s="2">
        <v>42407</v>
      </c>
      <c r="B112">
        <v>2.0534791342169001</v>
      </c>
      <c r="C112" t="s">
        <v>18</v>
      </c>
      <c r="D112">
        <v>2.0649999999999999</v>
      </c>
    </row>
    <row r="113" spans="1:4" x14ac:dyDescent="0.25">
      <c r="A113" s="2">
        <v>42414</v>
      </c>
      <c r="B113">
        <v>2.0538585419952802</v>
      </c>
      <c r="C113" t="s">
        <v>18</v>
      </c>
      <c r="D113">
        <v>2.105</v>
      </c>
    </row>
    <row r="114" spans="1:4" x14ac:dyDescent="0.25">
      <c r="A114" s="2">
        <v>42421</v>
      </c>
      <c r="B114">
        <v>2.1160673803836101</v>
      </c>
      <c r="C114" t="s">
        <v>18</v>
      </c>
      <c r="D114">
        <v>2.105</v>
      </c>
    </row>
    <row r="115" spans="1:4" x14ac:dyDescent="0.25">
      <c r="A115" s="2">
        <v>42428</v>
      </c>
      <c r="B115">
        <v>2.1155675879865798</v>
      </c>
      <c r="C115" t="s">
        <v>18</v>
      </c>
      <c r="D115">
        <v>2.17</v>
      </c>
    </row>
    <row r="116" spans="1:4" x14ac:dyDescent="0.25">
      <c r="A116" s="2">
        <v>42435</v>
      </c>
      <c r="B116">
        <v>2.1542452219128601</v>
      </c>
      <c r="C116" t="s">
        <v>18</v>
      </c>
      <c r="D116">
        <v>2.13</v>
      </c>
    </row>
    <row r="117" spans="1:4" x14ac:dyDescent="0.25">
      <c r="A117" s="2">
        <v>42442</v>
      </c>
      <c r="B117">
        <v>2.1047507151216198</v>
      </c>
      <c r="C117" t="s">
        <v>18</v>
      </c>
      <c r="D117">
        <v>2.125</v>
      </c>
    </row>
    <row r="118" spans="1:4" x14ac:dyDescent="0.25">
      <c r="A118" s="2">
        <v>42449</v>
      </c>
      <c r="B118">
        <v>2.1200350894778901</v>
      </c>
      <c r="C118" t="s">
        <v>18</v>
      </c>
      <c r="D118">
        <v>2.16</v>
      </c>
    </row>
    <row r="119" spans="1:4" x14ac:dyDescent="0.25">
      <c r="A119" s="2">
        <v>42456</v>
      </c>
      <c r="B119">
        <v>2.1419504384696402</v>
      </c>
      <c r="C119" t="s">
        <v>18</v>
      </c>
      <c r="D119">
        <v>2.11</v>
      </c>
    </row>
    <row r="120" spans="1:4" x14ac:dyDescent="0.25">
      <c r="A120" s="2">
        <v>42463</v>
      </c>
      <c r="B120">
        <v>2.0776416870951602</v>
      </c>
      <c r="C120" t="s">
        <v>18</v>
      </c>
      <c r="D120">
        <v>2.1</v>
      </c>
    </row>
    <row r="121" spans="1:4" x14ac:dyDescent="0.25">
      <c r="A121" s="2">
        <v>42470</v>
      </c>
      <c r="B121">
        <v>2.0975776354968501</v>
      </c>
      <c r="C121" t="s">
        <v>18</v>
      </c>
      <c r="D121">
        <v>2.13</v>
      </c>
    </row>
    <row r="122" spans="1:4" x14ac:dyDescent="0.25">
      <c r="A122" s="2">
        <v>42477</v>
      </c>
      <c r="B122">
        <v>2.1308068569004499</v>
      </c>
      <c r="C122" t="s">
        <v>18</v>
      </c>
      <c r="D122">
        <v>2.13</v>
      </c>
    </row>
    <row r="123" spans="1:4" x14ac:dyDescent="0.25">
      <c r="A123" s="2">
        <v>42484</v>
      </c>
      <c r="B123">
        <v>2.0877365260571201</v>
      </c>
      <c r="C123" t="s">
        <v>18</v>
      </c>
      <c r="D123">
        <v>2.11</v>
      </c>
    </row>
    <row r="124" spans="1:4" x14ac:dyDescent="0.25">
      <c r="A124" s="2">
        <v>42491</v>
      </c>
      <c r="B124">
        <v>2.0719727124273701</v>
      </c>
      <c r="C124" t="s">
        <v>18</v>
      </c>
      <c r="D124">
        <v>2.0449999999999999</v>
      </c>
    </row>
    <row r="125" spans="1:4" x14ac:dyDescent="0.25">
      <c r="A125" s="2">
        <v>42498</v>
      </c>
      <c r="B125">
        <v>2.0348870213329699</v>
      </c>
      <c r="C125" t="s">
        <v>18</v>
      </c>
      <c r="D125">
        <v>2.085</v>
      </c>
    </row>
    <row r="126" spans="1:4" x14ac:dyDescent="0.25">
      <c r="A126" s="2">
        <v>42505</v>
      </c>
      <c r="B126">
        <v>2.0560149143636202</v>
      </c>
      <c r="C126" t="s">
        <v>18</v>
      </c>
      <c r="D126">
        <v>2.0550000000000002</v>
      </c>
    </row>
    <row r="127" spans="1:4" x14ac:dyDescent="0.25">
      <c r="A127" s="2">
        <v>42512</v>
      </c>
      <c r="B127">
        <v>2.0481295666843602</v>
      </c>
      <c r="C127" t="s">
        <v>18</v>
      </c>
      <c r="D127">
        <v>2.0499999999999998</v>
      </c>
    </row>
    <row r="128" spans="1:4" x14ac:dyDescent="0.25">
      <c r="A128" s="2">
        <v>42519</v>
      </c>
      <c r="B128">
        <v>2.0415938410162902</v>
      </c>
      <c r="C128" t="s">
        <v>18</v>
      </c>
      <c r="D128">
        <v>2.04</v>
      </c>
    </row>
    <row r="129" spans="1:4" x14ac:dyDescent="0.25">
      <c r="A129" s="2">
        <v>42526</v>
      </c>
      <c r="B129">
        <v>2.02318643957376</v>
      </c>
      <c r="C129" t="s">
        <v>18</v>
      </c>
      <c r="D129">
        <v>2.0449999999999999</v>
      </c>
    </row>
    <row r="130" spans="1:4" x14ac:dyDescent="0.25">
      <c r="A130" s="2">
        <v>42533</v>
      </c>
      <c r="B130">
        <v>2.0325720771402098</v>
      </c>
      <c r="C130" t="s">
        <v>18</v>
      </c>
      <c r="D130">
        <v>2.0299999999999998</v>
      </c>
    </row>
    <row r="131" spans="1:4" x14ac:dyDescent="0.25">
      <c r="A131" s="2">
        <v>42540</v>
      </c>
      <c r="B131">
        <v>2.03199244208633</v>
      </c>
      <c r="C131" t="s">
        <v>18</v>
      </c>
      <c r="D131">
        <v>2.0150000000000001</v>
      </c>
    </row>
    <row r="132" spans="1:4" x14ac:dyDescent="0.25">
      <c r="A132" s="2">
        <v>42547</v>
      </c>
      <c r="B132">
        <v>2.00618588618934</v>
      </c>
      <c r="C132" t="s">
        <v>18</v>
      </c>
      <c r="D132">
        <v>2.1175000000000002</v>
      </c>
    </row>
    <row r="133" spans="1:4" x14ac:dyDescent="0.25">
      <c r="A133" s="2">
        <v>42554</v>
      </c>
      <c r="B133">
        <v>2.12559346362948</v>
      </c>
      <c r="C133" t="s">
        <v>18</v>
      </c>
      <c r="D133">
        <v>2.165</v>
      </c>
    </row>
    <row r="134" spans="1:4" x14ac:dyDescent="0.25">
      <c r="A134" s="2">
        <v>42561</v>
      </c>
      <c r="B134">
        <v>2.1472516696155002</v>
      </c>
      <c r="C134" t="s">
        <v>18</v>
      </c>
      <c r="D134">
        <v>2.17</v>
      </c>
    </row>
    <row r="135" spans="1:4" x14ac:dyDescent="0.25">
      <c r="A135" s="2">
        <v>42568</v>
      </c>
      <c r="B135">
        <v>2.15057979777455</v>
      </c>
      <c r="C135" t="s">
        <v>18</v>
      </c>
      <c r="D135">
        <v>2.1850000000000001</v>
      </c>
    </row>
    <row r="136" spans="1:4" x14ac:dyDescent="0.25">
      <c r="A136" s="2">
        <v>42575</v>
      </c>
      <c r="B136">
        <v>2.1746877896785701</v>
      </c>
      <c r="C136" t="s">
        <v>18</v>
      </c>
      <c r="D136">
        <v>2.1549999999999998</v>
      </c>
    </row>
    <row r="137" spans="1:4" x14ac:dyDescent="0.25">
      <c r="A137" s="2">
        <v>42582</v>
      </c>
      <c r="B137">
        <v>2.1290952961146798</v>
      </c>
      <c r="C137" t="s">
        <v>18</v>
      </c>
      <c r="D137">
        <v>2.1349999999999998</v>
      </c>
    </row>
    <row r="138" spans="1:4" x14ac:dyDescent="0.25">
      <c r="A138" s="2">
        <v>42589</v>
      </c>
      <c r="B138">
        <v>2.1191074251383499</v>
      </c>
      <c r="C138" t="s">
        <v>18</v>
      </c>
      <c r="D138">
        <v>2.1749999999999998</v>
      </c>
    </row>
    <row r="139" spans="1:4" x14ac:dyDescent="0.25">
      <c r="A139" s="2">
        <v>42596</v>
      </c>
      <c r="B139">
        <v>2.1495813082158501</v>
      </c>
      <c r="C139" t="s">
        <v>18</v>
      </c>
      <c r="D139">
        <v>2.1549999999999998</v>
      </c>
    </row>
    <row r="140" spans="1:4" x14ac:dyDescent="0.25">
      <c r="A140" s="2">
        <v>42603</v>
      </c>
      <c r="B140">
        <v>2.1473396170139298</v>
      </c>
      <c r="C140" t="s">
        <v>18</v>
      </c>
      <c r="D140">
        <v>2.1549999999999998</v>
      </c>
    </row>
    <row r="141" spans="1:4" x14ac:dyDescent="0.25">
      <c r="A141" s="2">
        <v>42610</v>
      </c>
      <c r="B141">
        <v>2.1408726173639199</v>
      </c>
      <c r="C141" t="s">
        <v>18</v>
      </c>
      <c r="D141">
        <v>2.14</v>
      </c>
    </row>
    <row r="142" spans="1:4" x14ac:dyDescent="0.25">
      <c r="A142" s="2">
        <v>42617</v>
      </c>
      <c r="B142">
        <v>2.1235887813568102</v>
      </c>
      <c r="C142" t="s">
        <v>18</v>
      </c>
      <c r="D142">
        <v>2.16</v>
      </c>
    </row>
    <row r="143" spans="1:4" x14ac:dyDescent="0.25">
      <c r="A143" s="2">
        <v>42624</v>
      </c>
      <c r="B143">
        <v>2.1356617796421</v>
      </c>
      <c r="C143" t="s">
        <v>18</v>
      </c>
      <c r="D143">
        <v>2.0950000000000002</v>
      </c>
    </row>
    <row r="144" spans="1:4" x14ac:dyDescent="0.25">
      <c r="A144" s="2">
        <v>42631</v>
      </c>
      <c r="B144">
        <v>2.0758051782101301</v>
      </c>
      <c r="C144" t="s">
        <v>18</v>
      </c>
      <c r="D144">
        <v>2.105</v>
      </c>
    </row>
    <row r="145" spans="1:4" x14ac:dyDescent="0.25">
      <c r="A145" s="2">
        <v>42638</v>
      </c>
      <c r="B145">
        <v>2.1114681220799598</v>
      </c>
      <c r="C145" t="s">
        <v>18</v>
      </c>
      <c r="D145">
        <v>2.14</v>
      </c>
    </row>
    <row r="146" spans="1:4" x14ac:dyDescent="0.25">
      <c r="A146" s="2">
        <v>42645</v>
      </c>
      <c r="B146">
        <v>2.14021098569035</v>
      </c>
      <c r="C146" t="s">
        <v>18</v>
      </c>
      <c r="D146">
        <v>2.15</v>
      </c>
    </row>
    <row r="147" spans="1:4" x14ac:dyDescent="0.25">
      <c r="A147" s="2">
        <v>42652</v>
      </c>
      <c r="B147">
        <v>2.1266155007481502</v>
      </c>
      <c r="C147" t="s">
        <v>18</v>
      </c>
      <c r="D147">
        <v>2.1</v>
      </c>
    </row>
    <row r="148" spans="1:4" x14ac:dyDescent="0.25">
      <c r="A148" s="2">
        <v>42659</v>
      </c>
      <c r="B148">
        <v>2.09265327483415</v>
      </c>
      <c r="C148" t="s">
        <v>18</v>
      </c>
      <c r="D148">
        <v>2.1</v>
      </c>
    </row>
    <row r="149" spans="1:4" x14ac:dyDescent="0.25">
      <c r="A149" s="2">
        <v>42666</v>
      </c>
      <c r="B149">
        <v>2.0909469164162799</v>
      </c>
      <c r="C149" t="s">
        <v>18</v>
      </c>
      <c r="D149">
        <v>2.1</v>
      </c>
    </row>
    <row r="150" spans="1:4" x14ac:dyDescent="0.25">
      <c r="A150" s="2">
        <v>42673</v>
      </c>
      <c r="B150">
        <v>2.08027505271136</v>
      </c>
      <c r="C150" t="s">
        <v>18</v>
      </c>
      <c r="D150">
        <v>2.0249999999999999</v>
      </c>
    </row>
    <row r="151" spans="1:4" x14ac:dyDescent="0.25">
      <c r="A151" s="2">
        <v>42680</v>
      </c>
      <c r="B151">
        <v>2.0046836796402898</v>
      </c>
      <c r="C151" t="s">
        <v>18</v>
      </c>
      <c r="D151">
        <v>1.9850000000000001</v>
      </c>
    </row>
    <row r="152" spans="1:4" x14ac:dyDescent="0.25">
      <c r="A152" s="2">
        <v>42687</v>
      </c>
      <c r="B152">
        <v>1.96994378186762</v>
      </c>
      <c r="C152" t="s">
        <v>18</v>
      </c>
      <c r="D152">
        <v>1.9324999999999899</v>
      </c>
    </row>
    <row r="153" spans="1:4" x14ac:dyDescent="0.25">
      <c r="A153" s="2">
        <v>42694</v>
      </c>
      <c r="B153">
        <v>1.94804583799093</v>
      </c>
      <c r="C153" t="s">
        <v>18</v>
      </c>
      <c r="D153">
        <v>1.915</v>
      </c>
    </row>
    <row r="154" spans="1:4" x14ac:dyDescent="0.25">
      <c r="A154" s="2">
        <v>42701</v>
      </c>
      <c r="B154">
        <v>1.92399175904691</v>
      </c>
      <c r="C154" t="s">
        <v>18</v>
      </c>
      <c r="D154">
        <v>1.925</v>
      </c>
    </row>
    <row r="155" spans="1:4" x14ac:dyDescent="0.25">
      <c r="A155" s="2">
        <v>42708</v>
      </c>
      <c r="B155">
        <v>1.92073374420404</v>
      </c>
      <c r="C155" t="s">
        <v>18</v>
      </c>
      <c r="D155">
        <v>1.9550000000000001</v>
      </c>
    </row>
    <row r="156" spans="1:4" x14ac:dyDescent="0.25">
      <c r="A156" s="2">
        <v>42715</v>
      </c>
      <c r="B156">
        <v>1.9603320694714701</v>
      </c>
      <c r="C156" t="s">
        <v>18</v>
      </c>
      <c r="D156">
        <v>1.9450000000000001</v>
      </c>
    </row>
    <row r="157" spans="1:4" x14ac:dyDescent="0.25">
      <c r="A157" s="2">
        <v>42722</v>
      </c>
      <c r="B157">
        <v>1.9543045695126</v>
      </c>
      <c r="C157" t="s">
        <v>18</v>
      </c>
      <c r="D157">
        <v>1.895</v>
      </c>
    </row>
    <row r="158" spans="1:4" x14ac:dyDescent="0.25">
      <c r="A158" s="2">
        <v>42729</v>
      </c>
      <c r="B158">
        <v>1.9191264680772999</v>
      </c>
      <c r="C158" t="s">
        <v>18</v>
      </c>
      <c r="D158">
        <v>1.885</v>
      </c>
    </row>
    <row r="159" spans="1:4" x14ac:dyDescent="0.25">
      <c r="A159" s="2">
        <v>42736</v>
      </c>
      <c r="B159">
        <v>1.9014880313724201</v>
      </c>
      <c r="C159" t="s">
        <v>18</v>
      </c>
      <c r="D159">
        <v>1.9324999999999899</v>
      </c>
    </row>
    <row r="160" spans="1:4" x14ac:dyDescent="0.25">
      <c r="A160" s="2">
        <v>42743</v>
      </c>
      <c r="B160">
        <v>1.9402014794945699</v>
      </c>
      <c r="C160" t="s">
        <v>18</v>
      </c>
      <c r="D160">
        <v>1.9950000000000001</v>
      </c>
    </row>
    <row r="161" spans="1:4" x14ac:dyDescent="0.25">
      <c r="A161" s="2">
        <v>42750</v>
      </c>
      <c r="B161">
        <v>2.0116090170294001</v>
      </c>
      <c r="C161" t="s">
        <v>18</v>
      </c>
      <c r="D161">
        <v>1.9850000000000001</v>
      </c>
    </row>
    <row r="162" spans="1:4" x14ac:dyDescent="0.25">
      <c r="A162" s="2">
        <v>42757</v>
      </c>
      <c r="B162">
        <v>2.0051694530248598</v>
      </c>
      <c r="C162" t="s">
        <v>18</v>
      </c>
      <c r="D162">
        <v>1.9524999999999999</v>
      </c>
    </row>
    <row r="163" spans="1:4" x14ac:dyDescent="0.25">
      <c r="A163" s="2">
        <v>42764</v>
      </c>
      <c r="B163">
        <v>1.96660882674157</v>
      </c>
      <c r="C163" t="s">
        <v>18</v>
      </c>
      <c r="D163">
        <v>1.94749999999999</v>
      </c>
    </row>
    <row r="164" spans="1:4" x14ac:dyDescent="0.25">
      <c r="A164" s="2">
        <v>42771</v>
      </c>
      <c r="B164" t="s">
        <v>8</v>
      </c>
      <c r="C164" t="s">
        <v>8</v>
      </c>
      <c r="D164">
        <v>1.97</v>
      </c>
    </row>
    <row r="165" spans="1:4" x14ac:dyDescent="0.25">
      <c r="A165" s="2">
        <v>42778</v>
      </c>
      <c r="B165">
        <v>1.9996823056787201</v>
      </c>
      <c r="C165" t="s">
        <v>19</v>
      </c>
      <c r="D165">
        <v>1.9724999999999999</v>
      </c>
    </row>
    <row r="166" spans="1:4" x14ac:dyDescent="0.25">
      <c r="A166" s="2">
        <v>42785</v>
      </c>
      <c r="B166">
        <v>1.9805081664770801</v>
      </c>
      <c r="C166" t="s">
        <v>19</v>
      </c>
      <c r="D166">
        <v>1.9650000000000001</v>
      </c>
    </row>
    <row r="167" spans="1:4" x14ac:dyDescent="0.25">
      <c r="A167" s="2">
        <v>42792</v>
      </c>
      <c r="B167">
        <v>1.9900329902023</v>
      </c>
      <c r="C167" t="s">
        <v>19</v>
      </c>
      <c r="D167">
        <v>1.94749999999999</v>
      </c>
    </row>
    <row r="168" spans="1:4" x14ac:dyDescent="0.25">
      <c r="A168" s="2">
        <v>42799</v>
      </c>
      <c r="B168">
        <v>1.9602194610238</v>
      </c>
      <c r="C168" t="s">
        <v>19</v>
      </c>
      <c r="D168">
        <v>1.9324999999999899</v>
      </c>
    </row>
    <row r="169" spans="1:4" x14ac:dyDescent="0.25">
      <c r="A169" s="2">
        <v>42806</v>
      </c>
      <c r="B169">
        <v>1.95739550620317</v>
      </c>
      <c r="C169" t="s">
        <v>19</v>
      </c>
      <c r="D169">
        <v>1.94</v>
      </c>
    </row>
    <row r="170" spans="1:4" x14ac:dyDescent="0.25">
      <c r="A170" s="2">
        <v>42813</v>
      </c>
      <c r="B170">
        <v>1.96891276381909</v>
      </c>
      <c r="C170" t="s">
        <v>19</v>
      </c>
      <c r="D170">
        <v>1.94749999999999</v>
      </c>
    </row>
    <row r="171" spans="1:4" x14ac:dyDescent="0.25">
      <c r="A171" s="2">
        <v>42820</v>
      </c>
      <c r="B171">
        <v>1.9690668816864401</v>
      </c>
      <c r="C171" t="s">
        <v>19</v>
      </c>
      <c r="D171">
        <v>1.96</v>
      </c>
    </row>
    <row r="172" spans="1:4" x14ac:dyDescent="0.25">
      <c r="A172" s="2">
        <v>42827</v>
      </c>
      <c r="B172">
        <v>1.98764628984034</v>
      </c>
      <c r="C172" t="s">
        <v>19</v>
      </c>
      <c r="D172">
        <v>1.9724999999999999</v>
      </c>
    </row>
    <row r="173" spans="1:4" x14ac:dyDescent="0.25">
      <c r="A173" s="2">
        <v>42834</v>
      </c>
      <c r="B173">
        <v>1.98330601818859</v>
      </c>
      <c r="C173" t="s">
        <v>19</v>
      </c>
      <c r="D173">
        <v>1.9975000000000001</v>
      </c>
    </row>
    <row r="174" spans="1:4" x14ac:dyDescent="0.25">
      <c r="A174" s="2">
        <v>42841</v>
      </c>
      <c r="B174">
        <v>2.0207008577138099</v>
      </c>
      <c r="C174" t="s">
        <v>19</v>
      </c>
      <c r="D174">
        <v>2.0024999999999999</v>
      </c>
    </row>
    <row r="175" spans="1:4" x14ac:dyDescent="0.25">
      <c r="A175" s="2">
        <v>42848</v>
      </c>
      <c r="B175">
        <v>1.99565273404121</v>
      </c>
      <c r="C175" t="s">
        <v>19</v>
      </c>
      <c r="D175">
        <v>1.9875</v>
      </c>
    </row>
    <row r="176" spans="1:4" x14ac:dyDescent="0.25">
      <c r="A176" s="2">
        <v>42855</v>
      </c>
      <c r="B176">
        <v>1.9938138886541099</v>
      </c>
      <c r="C176" t="s">
        <v>19</v>
      </c>
      <c r="D176">
        <v>1.9550000000000001</v>
      </c>
    </row>
    <row r="177" spans="1:4" x14ac:dyDescent="0.25">
      <c r="A177" s="2">
        <v>42862</v>
      </c>
      <c r="B177">
        <v>1.9713251109421199</v>
      </c>
      <c r="C177" t="s">
        <v>19</v>
      </c>
      <c r="D177">
        <v>1.94749999999999</v>
      </c>
    </row>
    <row r="178" spans="1:4" x14ac:dyDescent="0.25">
      <c r="A178" s="2">
        <v>42869</v>
      </c>
      <c r="B178">
        <v>1.96073825575411</v>
      </c>
      <c r="C178" t="s">
        <v>19</v>
      </c>
      <c r="D178">
        <v>1.96</v>
      </c>
    </row>
    <row r="179" spans="1:4" x14ac:dyDescent="0.25">
      <c r="A179" s="2">
        <v>42876</v>
      </c>
      <c r="B179">
        <v>1.96756739497184</v>
      </c>
      <c r="C179" t="s">
        <v>19</v>
      </c>
      <c r="D179">
        <v>1.9675</v>
      </c>
    </row>
    <row r="180" spans="1:4" x14ac:dyDescent="0.25">
      <c r="A180" s="2">
        <v>42883</v>
      </c>
      <c r="B180">
        <v>1.98405238457024</v>
      </c>
      <c r="C180" t="s">
        <v>19</v>
      </c>
      <c r="D180">
        <v>1.9675</v>
      </c>
    </row>
    <row r="181" spans="1:4" x14ac:dyDescent="0.25">
      <c r="A181" s="2">
        <v>42890</v>
      </c>
      <c r="B181">
        <v>1.97336997009813</v>
      </c>
      <c r="C181" t="s">
        <v>19</v>
      </c>
      <c r="D181">
        <v>1.94</v>
      </c>
    </row>
    <row r="182" spans="1:4" x14ac:dyDescent="0.25">
      <c r="A182" s="2">
        <v>42897</v>
      </c>
      <c r="B182">
        <v>1.94230064406991</v>
      </c>
      <c r="C182" t="s">
        <v>19</v>
      </c>
      <c r="D182">
        <v>1.9375</v>
      </c>
    </row>
    <row r="183" spans="1:4" x14ac:dyDescent="0.25">
      <c r="A183" s="2">
        <v>42904</v>
      </c>
      <c r="B183">
        <v>1.96752194270491</v>
      </c>
      <c r="C183" t="s">
        <v>19</v>
      </c>
      <c r="D183">
        <v>1.9624999999999999</v>
      </c>
    </row>
    <row r="184" spans="1:4" x14ac:dyDescent="0.25">
      <c r="A184" s="2">
        <v>42911</v>
      </c>
      <c r="B184">
        <v>2.0143796338886002</v>
      </c>
      <c r="C184" t="s">
        <v>19</v>
      </c>
      <c r="D184">
        <v>1.9675</v>
      </c>
    </row>
    <row r="185" spans="1:4" x14ac:dyDescent="0.25">
      <c r="A185" s="2">
        <v>42918</v>
      </c>
      <c r="B185">
        <v>1.9668161547929</v>
      </c>
      <c r="C185" t="s">
        <v>19</v>
      </c>
      <c r="D185">
        <v>1.96</v>
      </c>
    </row>
    <row r="186" spans="1:4" x14ac:dyDescent="0.25">
      <c r="A186" s="2">
        <v>42925</v>
      </c>
      <c r="B186">
        <v>1.9594407943263601</v>
      </c>
      <c r="C186" t="s">
        <v>19</v>
      </c>
      <c r="D186">
        <v>1.9775</v>
      </c>
    </row>
    <row r="187" spans="1:4" x14ac:dyDescent="0.25">
      <c r="A187" s="2">
        <v>42932</v>
      </c>
      <c r="B187">
        <v>1.96114727139472</v>
      </c>
      <c r="C187" t="s">
        <v>19</v>
      </c>
      <c r="D187">
        <v>2.0150000000000001</v>
      </c>
    </row>
    <row r="188" spans="1:4" x14ac:dyDescent="0.25">
      <c r="A188" s="2">
        <v>42939</v>
      </c>
      <c r="B188">
        <v>2.0352711568772701</v>
      </c>
      <c r="C188" t="s">
        <v>19</v>
      </c>
      <c r="D188">
        <v>2.0449999999999999</v>
      </c>
    </row>
    <row r="189" spans="1:4" x14ac:dyDescent="0.25">
      <c r="A189" s="2">
        <v>42946</v>
      </c>
      <c r="B189">
        <v>2.0535280912369398</v>
      </c>
      <c r="C189" t="s">
        <v>19</v>
      </c>
      <c r="D189">
        <v>2.0099999999999998</v>
      </c>
    </row>
    <row r="190" spans="1:4" x14ac:dyDescent="0.25">
      <c r="A190" s="2">
        <v>42953</v>
      </c>
      <c r="B190">
        <v>2.0299277591705298</v>
      </c>
      <c r="C190" t="s">
        <v>19</v>
      </c>
      <c r="D190">
        <v>2.0550000000000002</v>
      </c>
    </row>
    <row r="191" spans="1:4" x14ac:dyDescent="0.25">
      <c r="A191" s="2">
        <v>42960</v>
      </c>
      <c r="B191">
        <v>2.07141394160687</v>
      </c>
      <c r="C191" t="s">
        <v>19</v>
      </c>
      <c r="D191">
        <v>2.1150000000000002</v>
      </c>
    </row>
    <row r="192" spans="1:4" x14ac:dyDescent="0.25">
      <c r="A192" s="2">
        <v>42967</v>
      </c>
      <c r="B192">
        <v>2.13947747007012</v>
      </c>
      <c r="C192" t="s">
        <v>19</v>
      </c>
      <c r="D192">
        <v>2.125</v>
      </c>
    </row>
    <row r="193" spans="1:4" x14ac:dyDescent="0.25">
      <c r="A193" s="2">
        <v>42974</v>
      </c>
      <c r="B193">
        <v>2.12735671952366</v>
      </c>
      <c r="C193" t="s">
        <v>19</v>
      </c>
      <c r="D193">
        <v>2.14</v>
      </c>
    </row>
    <row r="194" spans="1:4" x14ac:dyDescent="0.25">
      <c r="A194" s="2">
        <v>42981</v>
      </c>
      <c r="B194">
        <v>2.1398219946026802</v>
      </c>
      <c r="C194" t="s">
        <v>19</v>
      </c>
      <c r="D194">
        <v>2.11</v>
      </c>
    </row>
    <row r="195" spans="1:4" x14ac:dyDescent="0.25">
      <c r="A195" s="2">
        <v>42988</v>
      </c>
      <c r="B195">
        <v>2.1263050015270699</v>
      </c>
      <c r="C195" t="s">
        <v>19</v>
      </c>
      <c r="D195">
        <v>2.09</v>
      </c>
    </row>
    <row r="196" spans="1:4" x14ac:dyDescent="0.25">
      <c r="A196" s="2">
        <v>42995</v>
      </c>
      <c r="B196">
        <v>2.0856721534579901</v>
      </c>
      <c r="C196" t="s">
        <v>19</v>
      </c>
      <c r="D196">
        <v>2.0649999999999999</v>
      </c>
    </row>
    <row r="197" spans="1:4" x14ac:dyDescent="0.25">
      <c r="A197" s="2">
        <v>43002</v>
      </c>
      <c r="B197">
        <v>2.0838829039782198</v>
      </c>
      <c r="C197" t="s">
        <v>19</v>
      </c>
      <c r="D197">
        <v>2.0299999999999998</v>
      </c>
    </row>
    <row r="198" spans="1:4" x14ac:dyDescent="0.25">
      <c r="A198" s="2">
        <v>43009</v>
      </c>
      <c r="B198">
        <v>2.0253258905559699</v>
      </c>
      <c r="C198" t="s">
        <v>19</v>
      </c>
      <c r="D198">
        <v>2.0249999999999999</v>
      </c>
    </row>
    <row r="199" spans="1:4" x14ac:dyDescent="0.25">
      <c r="A199" s="2">
        <v>43016</v>
      </c>
      <c r="B199">
        <v>2.0332655436545601</v>
      </c>
      <c r="C199" t="s">
        <v>19</v>
      </c>
      <c r="D199">
        <v>2.0499999999999998</v>
      </c>
    </row>
    <row r="200" spans="1:4" x14ac:dyDescent="0.25">
      <c r="A200" s="2">
        <v>43023</v>
      </c>
      <c r="B200">
        <v>2.0558923940360501</v>
      </c>
      <c r="C200" t="s">
        <v>19</v>
      </c>
      <c r="D200">
        <v>2.0499999999999998</v>
      </c>
    </row>
    <row r="201" spans="1:4" x14ac:dyDescent="0.25">
      <c r="A201" s="2">
        <v>43030</v>
      </c>
      <c r="B201">
        <v>2.0540307677537202</v>
      </c>
      <c r="C201" t="s">
        <v>19</v>
      </c>
      <c r="D201">
        <v>2.0299999999999998</v>
      </c>
    </row>
    <row r="202" spans="1:4" x14ac:dyDescent="0.25">
      <c r="A202" s="2">
        <v>43037</v>
      </c>
      <c r="B202">
        <v>2.0198134250193802</v>
      </c>
      <c r="C202" t="s">
        <v>19</v>
      </c>
      <c r="D202">
        <v>2.0125000000000002</v>
      </c>
    </row>
    <row r="203" spans="1:4" x14ac:dyDescent="0.25">
      <c r="A203" s="2">
        <v>43044</v>
      </c>
      <c r="B203">
        <v>2.0349994472414199</v>
      </c>
      <c r="C203" t="s">
        <v>19</v>
      </c>
      <c r="D203">
        <v>2.0299999999999998</v>
      </c>
    </row>
    <row r="204" spans="1:4" x14ac:dyDescent="0.25">
      <c r="A204" s="2">
        <v>43051</v>
      </c>
      <c r="B204">
        <v>2.0429776891320901</v>
      </c>
      <c r="C204" t="s">
        <v>19</v>
      </c>
      <c r="D204">
        <v>2.0299999999999998</v>
      </c>
    </row>
    <row r="205" spans="1:4" x14ac:dyDescent="0.25">
      <c r="A205" s="2">
        <v>43058</v>
      </c>
      <c r="B205">
        <v>2.0441699988394899</v>
      </c>
      <c r="C205" t="s">
        <v>19</v>
      </c>
      <c r="D205">
        <v>2.06</v>
      </c>
    </row>
    <row r="206" spans="1:4" x14ac:dyDescent="0.25">
      <c r="A206" s="2">
        <v>43065</v>
      </c>
      <c r="B206">
        <v>2.09549207009375</v>
      </c>
      <c r="C206" t="s">
        <v>19</v>
      </c>
      <c r="D206">
        <v>2.0750000000000002</v>
      </c>
    </row>
    <row r="207" spans="1:4" x14ac:dyDescent="0.25">
      <c r="A207" s="2">
        <v>43072</v>
      </c>
      <c r="B207">
        <v>2.0754148728400401</v>
      </c>
      <c r="C207" t="s">
        <v>19</v>
      </c>
      <c r="D207">
        <v>2.0750000000000002</v>
      </c>
    </row>
    <row r="208" spans="1:4" x14ac:dyDescent="0.25">
      <c r="A208" s="2">
        <v>43079</v>
      </c>
      <c r="B208">
        <v>2.0852606370300002</v>
      </c>
      <c r="C208" t="s">
        <v>19</v>
      </c>
      <c r="D208">
        <v>2.11</v>
      </c>
    </row>
    <row r="209" spans="1:4" x14ac:dyDescent="0.25">
      <c r="A209" s="2">
        <v>43086</v>
      </c>
      <c r="B209">
        <v>2.1283889788389199</v>
      </c>
      <c r="C209" t="s">
        <v>19</v>
      </c>
      <c r="D209">
        <v>2.13</v>
      </c>
    </row>
    <row r="210" spans="1:4" x14ac:dyDescent="0.25">
      <c r="A210" s="2">
        <v>43093</v>
      </c>
      <c r="B210">
        <v>2.1479832868278002</v>
      </c>
      <c r="C210" t="s">
        <v>19</v>
      </c>
      <c r="D210">
        <v>2.125</v>
      </c>
    </row>
    <row r="211" spans="1:4" x14ac:dyDescent="0.25">
      <c r="A211" s="2">
        <v>43100</v>
      </c>
      <c r="B211">
        <v>2.11996145315468</v>
      </c>
      <c r="C211" t="s">
        <v>19</v>
      </c>
      <c r="D211">
        <v>2.12</v>
      </c>
    </row>
    <row r="212" spans="1:4" x14ac:dyDescent="0.25">
      <c r="A212" s="2">
        <v>43107</v>
      </c>
      <c r="B212">
        <v>2.0970517947524701</v>
      </c>
      <c r="C212" t="s">
        <v>19</v>
      </c>
      <c r="D212">
        <v>2.0750000000000002</v>
      </c>
    </row>
    <row r="213" spans="1:4" x14ac:dyDescent="0.25">
      <c r="A213" s="2">
        <v>43114</v>
      </c>
      <c r="B213">
        <v>2.0905089318007199</v>
      </c>
      <c r="C213" t="s">
        <v>19</v>
      </c>
      <c r="D213">
        <v>2.0499999999999998</v>
      </c>
    </row>
    <row r="214" spans="1:4" x14ac:dyDescent="0.25">
      <c r="A214" s="2">
        <v>43121</v>
      </c>
      <c r="B214">
        <v>2.09347908228635</v>
      </c>
      <c r="C214" t="s">
        <v>19</v>
      </c>
      <c r="D214">
        <v>2.08</v>
      </c>
    </row>
    <row r="215" spans="1:4" x14ac:dyDescent="0.25">
      <c r="A215" s="2">
        <v>43128</v>
      </c>
      <c r="B215">
        <v>2.1312185193598201</v>
      </c>
      <c r="C215" t="s">
        <v>19</v>
      </c>
      <c r="D215">
        <v>2.085</v>
      </c>
    </row>
    <row r="216" spans="1:4" x14ac:dyDescent="0.25">
      <c r="A216" s="2">
        <v>43135</v>
      </c>
      <c r="B216">
        <v>2.1355520005524098</v>
      </c>
      <c r="C216" t="s">
        <v>19</v>
      </c>
      <c r="D216">
        <v>2.0049999999999999</v>
      </c>
    </row>
    <row r="217" spans="1:4" x14ac:dyDescent="0.25">
      <c r="A217" s="2">
        <v>43142</v>
      </c>
      <c r="B217">
        <v>2.0362992542982101</v>
      </c>
      <c r="C217" t="s">
        <v>19</v>
      </c>
      <c r="D217">
        <v>1.98</v>
      </c>
    </row>
    <row r="218" spans="1:4" x14ac:dyDescent="0.25">
      <c r="A218" s="2">
        <v>43149</v>
      </c>
      <c r="B218">
        <v>2.0108826752006999</v>
      </c>
      <c r="C218" t="s">
        <v>19</v>
      </c>
      <c r="D218">
        <v>1.9850000000000001</v>
      </c>
    </row>
    <row r="219" spans="1:4" x14ac:dyDescent="0.25">
      <c r="A219" s="2">
        <v>43156</v>
      </c>
      <c r="B219">
        <v>2.0099874115735199</v>
      </c>
      <c r="C219" t="s">
        <v>19</v>
      </c>
      <c r="D219">
        <v>2</v>
      </c>
    </row>
    <row r="220" spans="1:4" x14ac:dyDescent="0.25">
      <c r="A220" s="2">
        <v>43163</v>
      </c>
      <c r="B220">
        <v>1.98197534374892</v>
      </c>
      <c r="C220" t="s">
        <v>19</v>
      </c>
      <c r="D220">
        <v>2.0099999999999998</v>
      </c>
    </row>
    <row r="221" spans="1:4" x14ac:dyDescent="0.25">
      <c r="A221" s="2">
        <v>43170</v>
      </c>
      <c r="B221">
        <v>2.0545300672948299</v>
      </c>
      <c r="C221" t="s">
        <v>19</v>
      </c>
      <c r="D221">
        <v>2.0449999999999999</v>
      </c>
    </row>
    <row r="222" spans="1:4" x14ac:dyDescent="0.25">
      <c r="A222" s="2">
        <v>43177</v>
      </c>
      <c r="B222">
        <v>2.0774197741597802</v>
      </c>
      <c r="C222" t="s">
        <v>19</v>
      </c>
      <c r="D222">
        <v>2.0550000000000002</v>
      </c>
    </row>
    <row r="223" spans="1:4" x14ac:dyDescent="0.25">
      <c r="A223" s="2">
        <v>43184</v>
      </c>
      <c r="B223">
        <v>2.0849157474189899</v>
      </c>
      <c r="C223" t="s">
        <v>19</v>
      </c>
      <c r="D223">
        <v>2.04</v>
      </c>
    </row>
    <row r="224" spans="1:4" x14ac:dyDescent="0.25">
      <c r="A224" s="2">
        <v>43191</v>
      </c>
      <c r="B224">
        <v>2.0832341778278298</v>
      </c>
      <c r="C224" t="s">
        <v>19</v>
      </c>
      <c r="D224">
        <v>2.0699999999999998</v>
      </c>
    </row>
    <row r="225" spans="1:4" x14ac:dyDescent="0.25">
      <c r="A225" s="2">
        <v>43198</v>
      </c>
      <c r="B225">
        <v>2.0972873616218499</v>
      </c>
      <c r="C225" t="s">
        <v>19</v>
      </c>
      <c r="D225">
        <v>2.08</v>
      </c>
    </row>
    <row r="226" spans="1:4" x14ac:dyDescent="0.25">
      <c r="A226" s="2">
        <v>43205</v>
      </c>
      <c r="B226">
        <v>2.1208070113509798</v>
      </c>
      <c r="C226" t="s">
        <v>19</v>
      </c>
      <c r="D226">
        <v>2.09</v>
      </c>
    </row>
    <row r="227" spans="1:4" x14ac:dyDescent="0.25">
      <c r="A227" s="2">
        <v>43212</v>
      </c>
      <c r="B227">
        <v>2.1196911855787</v>
      </c>
      <c r="C227" t="s">
        <v>19</v>
      </c>
      <c r="D227">
        <v>2.0699999999999998</v>
      </c>
    </row>
    <row r="228" spans="1:4" x14ac:dyDescent="0.25">
      <c r="A228" s="2">
        <v>43219</v>
      </c>
      <c r="B228">
        <v>2.07399227164685</v>
      </c>
      <c r="C228" t="s">
        <v>19</v>
      </c>
      <c r="D228">
        <v>2.105</v>
      </c>
    </row>
    <row r="229" spans="1:4" x14ac:dyDescent="0.25">
      <c r="A229" s="2">
        <v>43226</v>
      </c>
      <c r="B229">
        <v>2.10032309845089</v>
      </c>
      <c r="C229" t="s">
        <v>19</v>
      </c>
      <c r="D229">
        <v>2.085</v>
      </c>
    </row>
    <row r="230" spans="1:4" x14ac:dyDescent="0.25">
      <c r="A230" s="2">
        <v>43233</v>
      </c>
      <c r="B230">
        <v>2.09968244053423</v>
      </c>
      <c r="C230" t="s">
        <v>19</v>
      </c>
      <c r="D230">
        <v>2.085</v>
      </c>
    </row>
    <row r="231" spans="1:4" x14ac:dyDescent="0.25">
      <c r="A231" s="2">
        <v>43240</v>
      </c>
      <c r="B231">
        <v>2.0870328008383501</v>
      </c>
      <c r="C231" t="s">
        <v>19</v>
      </c>
      <c r="D231">
        <v>2.085</v>
      </c>
    </row>
    <row r="232" spans="1:4" x14ac:dyDescent="0.25">
      <c r="A232" s="2">
        <v>43247</v>
      </c>
      <c r="B232">
        <v>2.1099068823456699</v>
      </c>
      <c r="C232" t="s">
        <v>19</v>
      </c>
      <c r="D232">
        <v>2.09</v>
      </c>
    </row>
    <row r="233" spans="1:4" x14ac:dyDescent="0.25">
      <c r="A233" s="2">
        <v>43254</v>
      </c>
      <c r="B233">
        <v>2.0859655670076598</v>
      </c>
      <c r="C233" t="s">
        <v>19</v>
      </c>
      <c r="D233">
        <v>2.09</v>
      </c>
    </row>
    <row r="234" spans="1:4" x14ac:dyDescent="0.25">
      <c r="A234" s="2">
        <v>43261</v>
      </c>
      <c r="B234">
        <v>2.0863298970460802</v>
      </c>
      <c r="C234" t="s">
        <v>19</v>
      </c>
      <c r="D234">
        <v>2.06</v>
      </c>
    </row>
    <row r="235" spans="1:4" x14ac:dyDescent="0.25">
      <c r="A235" s="2">
        <v>43268</v>
      </c>
      <c r="B235">
        <v>2.0453694640845002</v>
      </c>
      <c r="C235" t="s">
        <v>19</v>
      </c>
      <c r="D235">
        <v>2.0299999999999998</v>
      </c>
    </row>
    <row r="236" spans="1:4" x14ac:dyDescent="0.25">
      <c r="A236" s="2">
        <v>43275</v>
      </c>
      <c r="B236">
        <v>2.04841489374637</v>
      </c>
      <c r="C236" t="s">
        <v>19</v>
      </c>
      <c r="D236">
        <v>2.0449999999999999</v>
      </c>
    </row>
    <row r="237" spans="1:4" x14ac:dyDescent="0.25">
      <c r="A237" s="2">
        <v>43282</v>
      </c>
      <c r="B237">
        <v>2.0859891510754802</v>
      </c>
      <c r="C237" t="s">
        <v>19</v>
      </c>
      <c r="D237">
        <v>2.06</v>
      </c>
    </row>
    <row r="238" spans="1:4" x14ac:dyDescent="0.25">
      <c r="A238" s="2">
        <v>43289</v>
      </c>
      <c r="B238">
        <v>2.0627406268566801</v>
      </c>
      <c r="C238" t="s">
        <v>19</v>
      </c>
      <c r="D238">
        <v>2.1</v>
      </c>
    </row>
    <row r="239" spans="1:4" x14ac:dyDescent="0.25">
      <c r="A239" s="2">
        <v>43296</v>
      </c>
      <c r="B239">
        <v>2.0835291977226702</v>
      </c>
      <c r="C239" t="s">
        <v>19</v>
      </c>
      <c r="D239">
        <v>2.1349999999999998</v>
      </c>
    </row>
    <row r="240" spans="1:4" x14ac:dyDescent="0.25">
      <c r="A240" s="2">
        <v>43303</v>
      </c>
      <c r="B240">
        <v>2.1390578854084001</v>
      </c>
      <c r="C240" t="s">
        <v>19</v>
      </c>
      <c r="D240">
        <v>2.1749999999999998</v>
      </c>
    </row>
    <row r="241" spans="1:4" x14ac:dyDescent="0.25">
      <c r="A241" s="2">
        <v>43310</v>
      </c>
      <c r="B241">
        <v>2.1540711160004098</v>
      </c>
      <c r="C241" t="s">
        <v>19</v>
      </c>
      <c r="D241">
        <v>2.15</v>
      </c>
    </row>
    <row r="242" spans="1:4" x14ac:dyDescent="0.25">
      <c r="A242" s="2">
        <v>43317</v>
      </c>
      <c r="B242">
        <v>2.1333074252307398</v>
      </c>
      <c r="C242" t="s">
        <v>19</v>
      </c>
      <c r="D242">
        <v>2.17</v>
      </c>
    </row>
    <row r="243" spans="1:4" x14ac:dyDescent="0.25">
      <c r="A243" s="2">
        <v>43324</v>
      </c>
      <c r="B243">
        <v>2.1585684809088699</v>
      </c>
      <c r="C243" t="s">
        <v>19</v>
      </c>
      <c r="D243">
        <v>2.2050000000000001</v>
      </c>
    </row>
    <row r="244" spans="1:4" x14ac:dyDescent="0.25">
      <c r="A244" s="2">
        <v>43331</v>
      </c>
      <c r="B244">
        <v>2.19056903079152</v>
      </c>
      <c r="C244" t="s">
        <v>19</v>
      </c>
      <c r="D244">
        <v>2.2000000000000002</v>
      </c>
    </row>
    <row r="245" spans="1:4" x14ac:dyDescent="0.25">
      <c r="A245" s="2">
        <v>43338</v>
      </c>
      <c r="B245">
        <v>2.1815462629497002</v>
      </c>
      <c r="C245" t="s">
        <v>19</v>
      </c>
      <c r="D245">
        <v>2.1549999999999998</v>
      </c>
    </row>
    <row r="246" spans="1:4" x14ac:dyDescent="0.25">
      <c r="A246" s="2">
        <v>43345</v>
      </c>
      <c r="B246">
        <v>2.1226847923547001</v>
      </c>
      <c r="C246" t="s">
        <v>19</v>
      </c>
      <c r="D246">
        <v>2.1349999999999998</v>
      </c>
    </row>
    <row r="247" spans="1:4" x14ac:dyDescent="0.25">
      <c r="A247" s="2">
        <v>43352</v>
      </c>
      <c r="B247">
        <v>2.1313506777584501</v>
      </c>
      <c r="C247" t="s">
        <v>19</v>
      </c>
      <c r="D247">
        <v>2.125</v>
      </c>
    </row>
    <row r="248" spans="1:4" x14ac:dyDescent="0.25">
      <c r="A248" s="2">
        <v>43359</v>
      </c>
      <c r="B248">
        <v>2.1212592340260699</v>
      </c>
      <c r="C248" t="s">
        <v>19</v>
      </c>
      <c r="D248">
        <v>2.13</v>
      </c>
    </row>
    <row r="249" spans="1:4" x14ac:dyDescent="0.25">
      <c r="A249" s="2">
        <v>43366</v>
      </c>
      <c r="B249">
        <v>2.1195688477903598</v>
      </c>
      <c r="C249" t="s">
        <v>19</v>
      </c>
      <c r="D249">
        <v>2.17</v>
      </c>
    </row>
    <row r="250" spans="1:4" x14ac:dyDescent="0.25">
      <c r="A250" s="2">
        <v>43373</v>
      </c>
      <c r="B250">
        <v>2.18311537012457</v>
      </c>
      <c r="C250" t="s">
        <v>19</v>
      </c>
      <c r="D250">
        <v>2.1850000000000001</v>
      </c>
    </row>
    <row r="251" spans="1:4" x14ac:dyDescent="0.25">
      <c r="A251" s="2">
        <v>43380</v>
      </c>
      <c r="B251">
        <v>2.1391756962239699</v>
      </c>
      <c r="C251" t="s">
        <v>19</v>
      </c>
      <c r="D251">
        <v>2.12</v>
      </c>
    </row>
    <row r="252" spans="1:4" x14ac:dyDescent="0.25">
      <c r="A252" s="2">
        <v>43387</v>
      </c>
      <c r="B252">
        <v>2.0908819324523198</v>
      </c>
      <c r="C252" t="s">
        <v>19</v>
      </c>
      <c r="D252">
        <v>2.14</v>
      </c>
    </row>
    <row r="253" spans="1:4" x14ac:dyDescent="0.25">
      <c r="A253" s="2">
        <v>43394</v>
      </c>
      <c r="B253">
        <v>2.1672197084128801</v>
      </c>
      <c r="C253" t="s">
        <v>19</v>
      </c>
      <c r="D253">
        <v>2.1349999999999998</v>
      </c>
    </row>
    <row r="254" spans="1:4" x14ac:dyDescent="0.25">
      <c r="A254" s="2">
        <v>43401</v>
      </c>
      <c r="B254">
        <v>2.11828380815684</v>
      </c>
      <c r="C254" t="s">
        <v>19</v>
      </c>
      <c r="D254">
        <v>2.12</v>
      </c>
    </row>
    <row r="255" spans="1:4" x14ac:dyDescent="0.25">
      <c r="A255" s="2">
        <v>43408</v>
      </c>
      <c r="B255">
        <v>2.1400391067564399</v>
      </c>
      <c r="C255" t="s">
        <v>19</v>
      </c>
      <c r="D255">
        <v>2.125</v>
      </c>
    </row>
    <row r="256" spans="1:4" x14ac:dyDescent="0.25">
      <c r="A256" s="2">
        <v>43415</v>
      </c>
      <c r="B256">
        <v>2.1344793270528299</v>
      </c>
      <c r="C256" t="s">
        <v>19</v>
      </c>
      <c r="D256">
        <v>2.14</v>
      </c>
    </row>
    <row r="257" spans="1:4" x14ac:dyDescent="0.25">
      <c r="A257" s="2">
        <v>43422</v>
      </c>
      <c r="B257">
        <v>2.1557524482905799</v>
      </c>
      <c r="C257" t="s">
        <v>19</v>
      </c>
      <c r="D257">
        <v>2.2000000000000002</v>
      </c>
    </row>
    <row r="258" spans="1:4" x14ac:dyDescent="0.25">
      <c r="A258" s="2">
        <v>43429</v>
      </c>
      <c r="B258">
        <v>2.1978678981959798</v>
      </c>
      <c r="C258" t="s">
        <v>19</v>
      </c>
      <c r="D258">
        <v>2.2349999999999999</v>
      </c>
    </row>
    <row r="259" spans="1:4" x14ac:dyDescent="0.25">
      <c r="A259" s="2">
        <v>43436</v>
      </c>
      <c r="B259">
        <v>2.2227169628441299</v>
      </c>
      <c r="C259" t="s">
        <v>19</v>
      </c>
      <c r="D259">
        <v>2.2650000000000001</v>
      </c>
    </row>
    <row r="260" spans="1:4" x14ac:dyDescent="0.25">
      <c r="A260" s="2">
        <v>43443</v>
      </c>
      <c r="B260">
        <v>2.2483251351117999</v>
      </c>
      <c r="C260" t="s">
        <v>19</v>
      </c>
      <c r="D260">
        <v>2.2799999999999998</v>
      </c>
    </row>
    <row r="261" spans="1:4" x14ac:dyDescent="0.25">
      <c r="A261" s="2">
        <v>43450</v>
      </c>
      <c r="B261">
        <v>2.2687289680540501</v>
      </c>
      <c r="C261" t="s">
        <v>19</v>
      </c>
      <c r="D261">
        <v>2.2949999999999999</v>
      </c>
    </row>
    <row r="262" spans="1:4" x14ac:dyDescent="0.25">
      <c r="A262" s="2">
        <v>43457</v>
      </c>
      <c r="B262">
        <v>2.2855448465049202</v>
      </c>
      <c r="C262" t="s">
        <v>19</v>
      </c>
      <c r="D262">
        <v>2.2850000000000001</v>
      </c>
    </row>
    <row r="263" spans="1:4" x14ac:dyDescent="0.25">
      <c r="A263" s="2">
        <v>43464</v>
      </c>
      <c r="B263">
        <v>2.2803130167722698</v>
      </c>
      <c r="C263" t="s">
        <v>19</v>
      </c>
      <c r="D263">
        <v>2.2749999999999999</v>
      </c>
    </row>
    <row r="264" spans="1:4" x14ac:dyDescent="0.25">
      <c r="A264" s="2">
        <v>43471</v>
      </c>
      <c r="B264">
        <v>2.2555932994186798</v>
      </c>
      <c r="C264" t="s">
        <v>19</v>
      </c>
      <c r="D264">
        <v>2.3250000000000002</v>
      </c>
    </row>
    <row r="265" spans="1:4" x14ac:dyDescent="0.25">
      <c r="A265" s="2">
        <v>43478</v>
      </c>
      <c r="B265">
        <v>2.3016344378888598</v>
      </c>
      <c r="C265" t="s">
        <v>19</v>
      </c>
      <c r="D265">
        <v>2.3050000000000002</v>
      </c>
    </row>
    <row r="266" spans="1:4" x14ac:dyDescent="0.25">
      <c r="A266" s="2">
        <v>43485</v>
      </c>
      <c r="B266">
        <v>2.2887405972182702</v>
      </c>
      <c r="C266" t="s">
        <v>19</v>
      </c>
      <c r="D266">
        <v>2.3199999999999998</v>
      </c>
    </row>
    <row r="267" spans="1:4" x14ac:dyDescent="0.25">
      <c r="A267" s="2">
        <v>43492</v>
      </c>
      <c r="B267">
        <v>2.31060025349259</v>
      </c>
      <c r="C267" t="s">
        <v>19</v>
      </c>
      <c r="D267">
        <v>2.375</v>
      </c>
    </row>
    <row r="268" spans="1:4" x14ac:dyDescent="0.25">
      <c r="A268" s="2">
        <v>43499</v>
      </c>
      <c r="B268">
        <v>2.3280737842619401</v>
      </c>
      <c r="C268" t="s">
        <v>19</v>
      </c>
      <c r="D268">
        <v>2.395</v>
      </c>
    </row>
    <row r="269" spans="1:4" x14ac:dyDescent="0.25">
      <c r="A269" s="2">
        <v>43506</v>
      </c>
      <c r="B269">
        <v>2.3605768646299801</v>
      </c>
      <c r="C269" t="s">
        <v>19</v>
      </c>
      <c r="D269">
        <v>2.375</v>
      </c>
    </row>
    <row r="270" spans="1:4" x14ac:dyDescent="0.25">
      <c r="A270" s="2">
        <v>43513</v>
      </c>
      <c r="B270">
        <v>2.3371499995887199</v>
      </c>
      <c r="C270" t="s">
        <v>19</v>
      </c>
      <c r="D270">
        <v>2.42</v>
      </c>
    </row>
    <row r="271" spans="1:4" x14ac:dyDescent="0.25">
      <c r="A271" s="2">
        <v>43520</v>
      </c>
      <c r="B271">
        <v>2.3759844529628702</v>
      </c>
      <c r="C271" t="s">
        <v>19</v>
      </c>
      <c r="D271">
        <v>2.4300000000000002</v>
      </c>
    </row>
    <row r="272" spans="1:4" x14ac:dyDescent="0.25">
      <c r="A272" s="2">
        <v>43527</v>
      </c>
      <c r="B272">
        <v>2.3627834717929299</v>
      </c>
      <c r="C272" t="s">
        <v>19</v>
      </c>
      <c r="D272">
        <v>2.41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AF67D-07BB-4419-9B8E-EA9067624622}">
  <sheetPr codeName="Sheet7"/>
  <dimension ref="A1:B10"/>
  <sheetViews>
    <sheetView workbookViewId="0">
      <selection activeCell="A2" sqref="A2:B10"/>
    </sheetView>
  </sheetViews>
  <sheetFormatPr defaultRowHeight="15" x14ac:dyDescent="0.25"/>
  <cols>
    <col min="1" max="1" width="9.7109375" bestFit="1" customWidth="1"/>
    <col min="2" max="2" width="14.5703125" bestFit="1" customWidth="1"/>
  </cols>
  <sheetData>
    <row r="1" spans="1:2" x14ac:dyDescent="0.25">
      <c r="A1" s="2" t="s">
        <v>7</v>
      </c>
      <c r="B1" t="s">
        <v>9</v>
      </c>
    </row>
    <row r="2" spans="1:2" x14ac:dyDescent="0.25">
      <c r="A2" s="2">
        <v>43471</v>
      </c>
      <c r="B2">
        <v>0.25623029664158797</v>
      </c>
    </row>
    <row r="3" spans="1:2" x14ac:dyDescent="0.25">
      <c r="A3" s="2">
        <v>43478</v>
      </c>
      <c r="B3">
        <v>0.26232042822986801</v>
      </c>
    </row>
    <row r="4" spans="1:2" x14ac:dyDescent="0.25">
      <c r="A4" s="2">
        <v>43485</v>
      </c>
      <c r="B4">
        <v>0.27000438429415202</v>
      </c>
    </row>
    <row r="5" spans="1:2" x14ac:dyDescent="0.25">
      <c r="A5" s="2">
        <v>43492</v>
      </c>
      <c r="B5">
        <v>0.26630998782813498</v>
      </c>
    </row>
    <row r="6" spans="1:2" x14ac:dyDescent="0.25">
      <c r="A6" s="2">
        <v>43499</v>
      </c>
      <c r="B6">
        <v>0.25775626681745001</v>
      </c>
    </row>
    <row r="7" spans="1:2" x14ac:dyDescent="0.25">
      <c r="A7" s="2">
        <v>43506</v>
      </c>
      <c r="B7">
        <v>0.25676754310727101</v>
      </c>
    </row>
    <row r="8" spans="1:2" x14ac:dyDescent="0.25">
      <c r="A8" s="2">
        <v>43513</v>
      </c>
      <c r="B8">
        <v>0.25679211605340202</v>
      </c>
    </row>
    <row r="9" spans="1:2" x14ac:dyDescent="0.25">
      <c r="A9" s="2">
        <v>43520</v>
      </c>
      <c r="B9">
        <v>0.27309651307761601</v>
      </c>
    </row>
    <row r="10" spans="1:2" x14ac:dyDescent="0.25">
      <c r="A10" s="2">
        <v>43527</v>
      </c>
      <c r="B10">
        <v>0.272913876995444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E7D5A1-C3D2-4507-BD9E-08737A3C146A}">
  <sheetPr codeName="Sheet8"/>
  <dimension ref="A1:D272"/>
  <sheetViews>
    <sheetView workbookViewId="0"/>
  </sheetViews>
  <sheetFormatPr defaultRowHeight="15" x14ac:dyDescent="0.25"/>
  <cols>
    <col min="1" max="1" width="10.7109375" bestFit="1" customWidth="1"/>
  </cols>
  <sheetData>
    <row r="1" spans="1:4" x14ac:dyDescent="0.25">
      <c r="A1" t="s">
        <v>7</v>
      </c>
      <c r="B1" t="s">
        <v>15</v>
      </c>
      <c r="C1" t="s">
        <v>16</v>
      </c>
      <c r="D1" t="s">
        <v>17</v>
      </c>
    </row>
    <row r="2" spans="1:4" x14ac:dyDescent="0.25">
      <c r="A2" s="2">
        <v>41637</v>
      </c>
      <c r="B2" t="s">
        <v>8</v>
      </c>
      <c r="C2" t="s">
        <v>8</v>
      </c>
      <c r="D2">
        <v>0.55000000000000004</v>
      </c>
    </row>
    <row r="3" spans="1:4" x14ac:dyDescent="0.25">
      <c r="A3" s="2">
        <v>41644</v>
      </c>
      <c r="B3">
        <v>0.55109283149242405</v>
      </c>
      <c r="C3" t="s">
        <v>18</v>
      </c>
      <c r="D3">
        <v>0.54</v>
      </c>
    </row>
    <row r="4" spans="1:4" x14ac:dyDescent="0.25">
      <c r="A4" s="2">
        <v>41651</v>
      </c>
      <c r="B4">
        <v>0.54636749446391997</v>
      </c>
      <c r="C4" t="s">
        <v>18</v>
      </c>
      <c r="D4">
        <v>0.52500000000000002</v>
      </c>
    </row>
    <row r="5" spans="1:4" x14ac:dyDescent="0.25">
      <c r="A5" s="2">
        <v>41658</v>
      </c>
      <c r="B5">
        <v>0.53666817963123303</v>
      </c>
      <c r="C5" t="s">
        <v>18</v>
      </c>
      <c r="D5">
        <v>0.52500000000000002</v>
      </c>
    </row>
    <row r="6" spans="1:4" x14ac:dyDescent="0.25">
      <c r="A6" s="2">
        <v>41665</v>
      </c>
      <c r="B6">
        <v>0.52735595226287801</v>
      </c>
      <c r="C6" t="s">
        <v>18</v>
      </c>
      <c r="D6">
        <v>0.51249999999999996</v>
      </c>
    </row>
    <row r="7" spans="1:4" x14ac:dyDescent="0.25">
      <c r="A7" s="2">
        <v>41672</v>
      </c>
      <c r="B7">
        <v>0.52207481682300505</v>
      </c>
      <c r="C7" t="s">
        <v>18</v>
      </c>
      <c r="D7">
        <v>0.51249999999999996</v>
      </c>
    </row>
    <row r="8" spans="1:4" x14ac:dyDescent="0.25">
      <c r="A8" s="2">
        <v>41679</v>
      </c>
      <c r="B8">
        <v>0.52364605486392901</v>
      </c>
      <c r="C8" t="s">
        <v>18</v>
      </c>
      <c r="D8">
        <v>0.52500000000000002</v>
      </c>
    </row>
    <row r="9" spans="1:4" x14ac:dyDescent="0.25">
      <c r="A9" s="2">
        <v>41686</v>
      </c>
      <c r="B9">
        <v>0.53088243126869195</v>
      </c>
      <c r="C9" t="s">
        <v>18</v>
      </c>
      <c r="D9">
        <v>0.54249999999999998</v>
      </c>
    </row>
    <row r="10" spans="1:4" x14ac:dyDescent="0.25">
      <c r="A10" s="2">
        <v>41693</v>
      </c>
      <c r="B10">
        <v>0.55453160226345</v>
      </c>
      <c r="C10" t="s">
        <v>18</v>
      </c>
      <c r="D10">
        <v>0.55500000000000005</v>
      </c>
    </row>
    <row r="11" spans="1:4" x14ac:dyDescent="0.25">
      <c r="A11" s="2">
        <v>41700</v>
      </c>
      <c r="B11">
        <v>0.56636434614658304</v>
      </c>
      <c r="C11" t="s">
        <v>18</v>
      </c>
      <c r="D11">
        <v>0.57999999999999996</v>
      </c>
    </row>
    <row r="12" spans="1:4" x14ac:dyDescent="0.25">
      <c r="A12" s="2">
        <v>41707</v>
      </c>
      <c r="B12">
        <v>0.60356636166572497</v>
      </c>
      <c r="C12" t="s">
        <v>18</v>
      </c>
      <c r="D12">
        <v>0.59750000000000003</v>
      </c>
    </row>
    <row r="13" spans="1:4" x14ac:dyDescent="0.25">
      <c r="A13" s="2">
        <v>41714</v>
      </c>
      <c r="B13">
        <v>0.60179373443126605</v>
      </c>
      <c r="C13" t="s">
        <v>18</v>
      </c>
      <c r="D13">
        <v>0.58499999999999996</v>
      </c>
    </row>
    <row r="14" spans="1:4" x14ac:dyDescent="0.25">
      <c r="A14" s="2">
        <v>41721</v>
      </c>
      <c r="B14">
        <v>0.58277848184108705</v>
      </c>
      <c r="C14" t="s">
        <v>18</v>
      </c>
      <c r="D14">
        <v>0.57499999999999996</v>
      </c>
    </row>
    <row r="15" spans="1:4" x14ac:dyDescent="0.25">
      <c r="A15" s="2">
        <v>41728</v>
      </c>
      <c r="B15">
        <v>0.58586002707481299</v>
      </c>
      <c r="C15" t="s">
        <v>18</v>
      </c>
      <c r="D15">
        <v>0.57999999999999996</v>
      </c>
    </row>
    <row r="16" spans="1:4" x14ac:dyDescent="0.25">
      <c r="A16" s="2">
        <v>41735</v>
      </c>
      <c r="B16">
        <v>0.58605234146118101</v>
      </c>
      <c r="C16" t="s">
        <v>18</v>
      </c>
      <c r="D16">
        <v>0.59250000000000003</v>
      </c>
    </row>
    <row r="17" spans="1:4" x14ac:dyDescent="0.25">
      <c r="A17" s="2">
        <v>41742</v>
      </c>
      <c r="B17">
        <v>0.60778757750987999</v>
      </c>
      <c r="C17" t="s">
        <v>18</v>
      </c>
      <c r="D17">
        <v>0.59750000000000003</v>
      </c>
    </row>
    <row r="18" spans="1:4" x14ac:dyDescent="0.25">
      <c r="A18" s="2">
        <v>41749</v>
      </c>
      <c r="B18">
        <v>0.60152368068694995</v>
      </c>
      <c r="C18" t="s">
        <v>18</v>
      </c>
      <c r="D18">
        <v>0.60750000000000004</v>
      </c>
    </row>
    <row r="19" spans="1:4" x14ac:dyDescent="0.25">
      <c r="A19" s="2">
        <v>41756</v>
      </c>
      <c r="B19">
        <v>0.60951268494129096</v>
      </c>
      <c r="C19" t="s">
        <v>18</v>
      </c>
      <c r="D19">
        <v>0.60499999999999998</v>
      </c>
    </row>
    <row r="20" spans="1:4" x14ac:dyDescent="0.25">
      <c r="A20" s="2">
        <v>41763</v>
      </c>
      <c r="B20">
        <v>0.61040492177009498</v>
      </c>
      <c r="C20" t="s">
        <v>18</v>
      </c>
      <c r="D20">
        <v>0.59750000000000003</v>
      </c>
    </row>
    <row r="21" spans="1:4" x14ac:dyDescent="0.25">
      <c r="A21" s="2">
        <v>41770</v>
      </c>
      <c r="B21">
        <v>0.59857781052589398</v>
      </c>
      <c r="C21" t="s">
        <v>18</v>
      </c>
      <c r="D21">
        <v>0.6</v>
      </c>
    </row>
    <row r="22" spans="1:4" x14ac:dyDescent="0.25">
      <c r="A22" s="2">
        <v>41777</v>
      </c>
      <c r="B22">
        <v>0.59994636297225901</v>
      </c>
      <c r="C22" t="s">
        <v>18</v>
      </c>
      <c r="D22">
        <v>0.57750000000000001</v>
      </c>
    </row>
    <row r="23" spans="1:4" x14ac:dyDescent="0.25">
      <c r="A23" s="2">
        <v>41784</v>
      </c>
      <c r="B23">
        <v>0.58147720813751202</v>
      </c>
      <c r="C23" t="s">
        <v>18</v>
      </c>
      <c r="D23">
        <v>0.57999999999999996</v>
      </c>
    </row>
    <row r="24" spans="1:4" x14ac:dyDescent="0.25">
      <c r="A24" s="2">
        <v>41791</v>
      </c>
      <c r="B24">
        <v>0.57960878133773797</v>
      </c>
      <c r="C24" t="s">
        <v>18</v>
      </c>
      <c r="D24">
        <v>0.5675</v>
      </c>
    </row>
    <row r="25" spans="1:4" x14ac:dyDescent="0.25">
      <c r="A25" s="2">
        <v>41798</v>
      </c>
      <c r="B25">
        <v>0.57746864676475496</v>
      </c>
      <c r="C25" t="s">
        <v>18</v>
      </c>
      <c r="D25">
        <v>0.57499999999999996</v>
      </c>
    </row>
    <row r="26" spans="1:4" x14ac:dyDescent="0.25">
      <c r="A26" s="2">
        <v>41805</v>
      </c>
      <c r="B26">
        <v>0.57703515708446496</v>
      </c>
      <c r="C26" t="s">
        <v>18</v>
      </c>
      <c r="D26">
        <v>0.56999999999999995</v>
      </c>
    </row>
    <row r="27" spans="1:4" x14ac:dyDescent="0.25">
      <c r="A27" s="2">
        <v>41812</v>
      </c>
      <c r="B27">
        <v>0.57363925695419304</v>
      </c>
      <c r="C27" t="s">
        <v>18</v>
      </c>
      <c r="D27">
        <v>0.5675</v>
      </c>
    </row>
    <row r="28" spans="1:4" x14ac:dyDescent="0.25">
      <c r="A28" s="2">
        <v>41819</v>
      </c>
      <c r="B28">
        <v>0.56740258455276404</v>
      </c>
      <c r="C28" t="s">
        <v>18</v>
      </c>
      <c r="D28">
        <v>0.55500000000000005</v>
      </c>
    </row>
    <row r="29" spans="1:4" x14ac:dyDescent="0.25">
      <c r="A29" s="2">
        <v>41826</v>
      </c>
      <c r="B29">
        <v>0.563529385328292</v>
      </c>
      <c r="C29" t="s">
        <v>18</v>
      </c>
      <c r="D29">
        <v>0.55249999999999999</v>
      </c>
    </row>
    <row r="30" spans="1:4" x14ac:dyDescent="0.25">
      <c r="A30" s="2">
        <v>41833</v>
      </c>
      <c r="B30">
        <v>0.55817994296550699</v>
      </c>
      <c r="C30" t="s">
        <v>18</v>
      </c>
      <c r="D30">
        <v>0.55000000000000004</v>
      </c>
    </row>
    <row r="31" spans="1:4" x14ac:dyDescent="0.25">
      <c r="A31" s="2">
        <v>41840</v>
      </c>
      <c r="B31">
        <v>0.56169971644878303</v>
      </c>
      <c r="C31" t="s">
        <v>18</v>
      </c>
      <c r="D31">
        <v>0.55000000000000004</v>
      </c>
    </row>
    <row r="32" spans="1:4" x14ac:dyDescent="0.25">
      <c r="A32" s="2">
        <v>41847</v>
      </c>
      <c r="B32">
        <v>0.557880831956863</v>
      </c>
      <c r="C32" t="s">
        <v>18</v>
      </c>
      <c r="D32">
        <v>0.53749999999999998</v>
      </c>
    </row>
    <row r="33" spans="1:4" x14ac:dyDescent="0.25">
      <c r="A33" s="2">
        <v>41854</v>
      </c>
      <c r="B33">
        <v>0.546463115215301</v>
      </c>
      <c r="C33" t="s">
        <v>18</v>
      </c>
      <c r="D33">
        <v>0.53249999999999997</v>
      </c>
    </row>
    <row r="34" spans="1:4" x14ac:dyDescent="0.25">
      <c r="A34" s="2">
        <v>41861</v>
      </c>
      <c r="B34">
        <v>0.53928731203079205</v>
      </c>
      <c r="C34" t="s">
        <v>18</v>
      </c>
      <c r="D34">
        <v>0.53</v>
      </c>
    </row>
    <row r="35" spans="1:4" x14ac:dyDescent="0.25">
      <c r="A35" s="2">
        <v>41868</v>
      </c>
      <c r="B35">
        <v>0.54391796708106999</v>
      </c>
      <c r="C35" t="s">
        <v>18</v>
      </c>
      <c r="D35">
        <v>0.52</v>
      </c>
    </row>
    <row r="36" spans="1:4" x14ac:dyDescent="0.25">
      <c r="A36" s="2">
        <v>41875</v>
      </c>
      <c r="B36">
        <v>0.52643671452999097</v>
      </c>
      <c r="C36" t="s">
        <v>18</v>
      </c>
      <c r="D36">
        <v>0.51500000000000001</v>
      </c>
    </row>
    <row r="37" spans="1:4" x14ac:dyDescent="0.25">
      <c r="A37" s="2">
        <v>41882</v>
      </c>
      <c r="B37">
        <v>0.52169358551502198</v>
      </c>
      <c r="C37" t="s">
        <v>18</v>
      </c>
      <c r="D37">
        <v>0.51500000000000001</v>
      </c>
    </row>
    <row r="38" spans="1:4" x14ac:dyDescent="0.25">
      <c r="A38" s="2">
        <v>41889</v>
      </c>
      <c r="B38">
        <v>0.520617527961731</v>
      </c>
      <c r="C38" t="s">
        <v>18</v>
      </c>
      <c r="D38">
        <v>0.51</v>
      </c>
    </row>
    <row r="39" spans="1:4" x14ac:dyDescent="0.25">
      <c r="A39" s="2">
        <v>41896</v>
      </c>
      <c r="B39">
        <v>0.51636314213275902</v>
      </c>
      <c r="C39" t="s">
        <v>18</v>
      </c>
      <c r="D39">
        <v>0.50749999999999995</v>
      </c>
    </row>
    <row r="40" spans="1:4" x14ac:dyDescent="0.25">
      <c r="A40" s="2">
        <v>41903</v>
      </c>
      <c r="B40">
        <v>0.51418442845344503</v>
      </c>
      <c r="C40" t="s">
        <v>18</v>
      </c>
      <c r="D40">
        <v>0.51249999999999996</v>
      </c>
    </row>
    <row r="41" spans="1:4" x14ac:dyDescent="0.25">
      <c r="A41" s="2">
        <v>41910</v>
      </c>
      <c r="B41">
        <v>0.51814225137233705</v>
      </c>
      <c r="C41" t="s">
        <v>18</v>
      </c>
      <c r="D41">
        <v>0.50749999999999995</v>
      </c>
    </row>
    <row r="42" spans="1:4" x14ac:dyDescent="0.25">
      <c r="A42" s="2">
        <v>41917</v>
      </c>
      <c r="B42">
        <v>0.51019602835178302</v>
      </c>
      <c r="C42" t="s">
        <v>18</v>
      </c>
      <c r="D42">
        <v>0.50249999999999995</v>
      </c>
    </row>
    <row r="43" spans="1:4" x14ac:dyDescent="0.25">
      <c r="A43" s="2">
        <v>41924</v>
      </c>
      <c r="B43">
        <v>0.50657281100749896</v>
      </c>
      <c r="C43" t="s">
        <v>18</v>
      </c>
      <c r="D43">
        <v>0.48249999999999998</v>
      </c>
    </row>
    <row r="44" spans="1:4" x14ac:dyDescent="0.25">
      <c r="A44" s="2">
        <v>41931</v>
      </c>
      <c r="B44">
        <v>0.489154635071754</v>
      </c>
      <c r="C44" t="s">
        <v>18</v>
      </c>
      <c r="D44">
        <v>0.48499999999999999</v>
      </c>
    </row>
    <row r="45" spans="1:4" x14ac:dyDescent="0.25">
      <c r="A45" s="2">
        <v>41938</v>
      </c>
      <c r="B45">
        <v>0.49294629514217297</v>
      </c>
      <c r="C45" t="s">
        <v>18</v>
      </c>
      <c r="D45">
        <v>0.5</v>
      </c>
    </row>
    <row r="46" spans="1:4" x14ac:dyDescent="0.25">
      <c r="A46" s="2">
        <v>41945</v>
      </c>
      <c r="B46">
        <v>0.51394674003124197</v>
      </c>
      <c r="C46" t="s">
        <v>18</v>
      </c>
      <c r="D46">
        <v>0.51</v>
      </c>
    </row>
    <row r="47" spans="1:4" x14ac:dyDescent="0.25">
      <c r="A47" s="2">
        <v>41952</v>
      </c>
      <c r="B47">
        <v>0.51301404654979699</v>
      </c>
      <c r="C47" t="s">
        <v>18</v>
      </c>
      <c r="D47">
        <v>0.48499999999999999</v>
      </c>
    </row>
    <row r="48" spans="1:4" x14ac:dyDescent="0.25">
      <c r="A48" s="2">
        <v>41959</v>
      </c>
      <c r="B48">
        <v>0.474676607251167</v>
      </c>
      <c r="C48" t="s">
        <v>18</v>
      </c>
      <c r="D48">
        <v>0.45500000000000002</v>
      </c>
    </row>
    <row r="49" spans="1:4" x14ac:dyDescent="0.25">
      <c r="A49" s="2">
        <v>41966</v>
      </c>
      <c r="B49">
        <v>0.45569264709949497</v>
      </c>
      <c r="C49" t="s">
        <v>18</v>
      </c>
      <c r="D49">
        <v>0.45500000000000002</v>
      </c>
    </row>
    <row r="50" spans="1:4" x14ac:dyDescent="0.25">
      <c r="A50" s="2">
        <v>41973</v>
      </c>
      <c r="B50">
        <v>0.45953674435615499</v>
      </c>
      <c r="C50" t="s">
        <v>18</v>
      </c>
      <c r="D50">
        <v>0.45249999999999901</v>
      </c>
    </row>
    <row r="51" spans="1:4" x14ac:dyDescent="0.25">
      <c r="A51" s="2">
        <v>41980</v>
      </c>
      <c r="B51">
        <v>0.45929074108600598</v>
      </c>
      <c r="C51" t="s">
        <v>18</v>
      </c>
      <c r="D51">
        <v>0.45500000000000002</v>
      </c>
    </row>
    <row r="52" spans="1:4" x14ac:dyDescent="0.25">
      <c r="A52" s="2">
        <v>41987</v>
      </c>
      <c r="B52">
        <v>0.45932538628578101</v>
      </c>
      <c r="C52" t="s">
        <v>18</v>
      </c>
      <c r="D52">
        <v>0.44</v>
      </c>
    </row>
    <row r="53" spans="1:4" x14ac:dyDescent="0.25">
      <c r="A53" s="2">
        <v>41994</v>
      </c>
      <c r="B53">
        <v>0.43761069148778903</v>
      </c>
      <c r="C53" t="s">
        <v>18</v>
      </c>
      <c r="D53">
        <v>0.44</v>
      </c>
    </row>
    <row r="54" spans="1:4" x14ac:dyDescent="0.25">
      <c r="A54" s="2">
        <v>42001</v>
      </c>
      <c r="B54">
        <v>0.44778254449367499</v>
      </c>
      <c r="C54" t="s">
        <v>18</v>
      </c>
      <c r="D54">
        <v>0.45249999999999901</v>
      </c>
    </row>
    <row r="55" spans="1:4" x14ac:dyDescent="0.25">
      <c r="A55" s="2">
        <v>42008</v>
      </c>
      <c r="B55">
        <v>0.46243397712707501</v>
      </c>
      <c r="C55" t="s">
        <v>18</v>
      </c>
      <c r="D55">
        <v>0.45750000000000002</v>
      </c>
    </row>
    <row r="56" spans="1:4" x14ac:dyDescent="0.25">
      <c r="A56" s="2">
        <v>42015</v>
      </c>
      <c r="B56">
        <v>0.46465900361537898</v>
      </c>
      <c r="C56" t="s">
        <v>18</v>
      </c>
      <c r="D56">
        <v>0.45500000000000002</v>
      </c>
    </row>
    <row r="57" spans="1:4" x14ac:dyDescent="0.25">
      <c r="A57" s="2">
        <v>42022</v>
      </c>
      <c r="B57">
        <v>0.45555572032928399</v>
      </c>
      <c r="C57" t="s">
        <v>18</v>
      </c>
      <c r="D57">
        <v>0.42999999999999899</v>
      </c>
    </row>
    <row r="58" spans="1:4" x14ac:dyDescent="0.25">
      <c r="A58" s="2">
        <v>42029</v>
      </c>
      <c r="B58">
        <v>0.43585529744625001</v>
      </c>
      <c r="C58" t="s">
        <v>18</v>
      </c>
      <c r="D58">
        <v>0.42999999999999899</v>
      </c>
    </row>
    <row r="59" spans="1:4" x14ac:dyDescent="0.25">
      <c r="A59" s="2">
        <v>42036</v>
      </c>
      <c r="B59">
        <v>0.43370568573474799</v>
      </c>
      <c r="C59" t="s">
        <v>18</v>
      </c>
      <c r="D59">
        <v>0.437499999999999</v>
      </c>
    </row>
    <row r="60" spans="1:4" x14ac:dyDescent="0.25">
      <c r="A60" s="2">
        <v>42043</v>
      </c>
      <c r="B60">
        <v>0.45030833601951598</v>
      </c>
      <c r="C60" t="s">
        <v>18</v>
      </c>
      <c r="D60">
        <v>0.437499999999999</v>
      </c>
    </row>
    <row r="61" spans="1:4" x14ac:dyDescent="0.25">
      <c r="A61" s="2">
        <v>42050</v>
      </c>
      <c r="B61">
        <v>0.43714512705802899</v>
      </c>
      <c r="C61" t="s">
        <v>18</v>
      </c>
      <c r="D61">
        <v>0.435</v>
      </c>
    </row>
    <row r="62" spans="1:4" x14ac:dyDescent="0.25">
      <c r="A62" s="2">
        <v>42057</v>
      </c>
      <c r="B62">
        <v>0.43087671518325799</v>
      </c>
      <c r="C62" t="s">
        <v>18</v>
      </c>
      <c r="D62">
        <v>0.41249999999999998</v>
      </c>
    </row>
    <row r="63" spans="1:4" x14ac:dyDescent="0.25">
      <c r="A63" s="2">
        <v>42064</v>
      </c>
      <c r="B63">
        <v>0.41472616240382199</v>
      </c>
      <c r="C63" t="s">
        <v>18</v>
      </c>
      <c r="D63">
        <v>0.41499999999999898</v>
      </c>
    </row>
    <row r="64" spans="1:4" x14ac:dyDescent="0.25">
      <c r="A64" s="2">
        <v>42071</v>
      </c>
      <c r="B64">
        <v>0.42303246080875401</v>
      </c>
      <c r="C64" t="s">
        <v>18</v>
      </c>
      <c r="D64">
        <v>0.41</v>
      </c>
    </row>
    <row r="65" spans="1:4" x14ac:dyDescent="0.25">
      <c r="A65" s="2">
        <v>42078</v>
      </c>
      <c r="B65">
        <v>0.409860992878675</v>
      </c>
      <c r="C65" t="s">
        <v>18</v>
      </c>
      <c r="D65">
        <v>0.40249999999999903</v>
      </c>
    </row>
    <row r="66" spans="1:4" x14ac:dyDescent="0.25">
      <c r="A66" s="2">
        <v>42085</v>
      </c>
      <c r="B66">
        <v>0.40810101673006999</v>
      </c>
      <c r="C66" t="s">
        <v>18</v>
      </c>
      <c r="D66">
        <v>0.41749999999999998</v>
      </c>
    </row>
    <row r="67" spans="1:4" x14ac:dyDescent="0.25">
      <c r="A67" s="2">
        <v>42092</v>
      </c>
      <c r="B67">
        <v>0.42423413515090902</v>
      </c>
      <c r="C67" t="s">
        <v>18</v>
      </c>
      <c r="D67">
        <v>0.42749999999999999</v>
      </c>
    </row>
    <row r="68" spans="1:4" x14ac:dyDescent="0.25">
      <c r="A68" s="2">
        <v>42099</v>
      </c>
      <c r="B68">
        <v>0.43313298940658501</v>
      </c>
      <c r="C68" t="s">
        <v>18</v>
      </c>
      <c r="D68">
        <v>0.435</v>
      </c>
    </row>
    <row r="69" spans="1:4" x14ac:dyDescent="0.25">
      <c r="A69" s="2">
        <v>42106</v>
      </c>
      <c r="B69">
        <v>0.43990297436714099</v>
      </c>
      <c r="C69" t="s">
        <v>18</v>
      </c>
      <c r="D69">
        <v>0.435</v>
      </c>
    </row>
    <row r="70" spans="1:4" x14ac:dyDescent="0.25">
      <c r="A70" s="2">
        <v>42113</v>
      </c>
      <c r="B70">
        <v>0.44155794203281401</v>
      </c>
      <c r="C70" t="s">
        <v>18</v>
      </c>
      <c r="D70">
        <v>0.42999999999999899</v>
      </c>
    </row>
    <row r="71" spans="1:4" x14ac:dyDescent="0.25">
      <c r="A71" s="2">
        <v>42120</v>
      </c>
      <c r="B71">
        <v>0.434999002218246</v>
      </c>
      <c r="C71" t="s">
        <v>18</v>
      </c>
      <c r="D71">
        <v>0.42</v>
      </c>
    </row>
    <row r="72" spans="1:4" x14ac:dyDescent="0.25">
      <c r="A72" s="2">
        <v>42127</v>
      </c>
      <c r="B72">
        <v>0.41924357235431597</v>
      </c>
      <c r="C72" t="s">
        <v>18</v>
      </c>
      <c r="D72">
        <v>0.41249999999999998</v>
      </c>
    </row>
    <row r="73" spans="1:4" x14ac:dyDescent="0.25">
      <c r="A73" s="2">
        <v>42134</v>
      </c>
      <c r="B73">
        <v>0.41225478619337003</v>
      </c>
      <c r="C73" t="s">
        <v>18</v>
      </c>
      <c r="D73">
        <v>0.4325</v>
      </c>
    </row>
    <row r="74" spans="1:4" x14ac:dyDescent="0.25">
      <c r="A74" s="2">
        <v>42141</v>
      </c>
      <c r="B74">
        <v>0.43418262720107997</v>
      </c>
      <c r="C74" t="s">
        <v>18</v>
      </c>
      <c r="D74">
        <v>0.42749999999999999</v>
      </c>
    </row>
    <row r="75" spans="1:4" x14ac:dyDescent="0.25">
      <c r="A75" s="2">
        <v>42148</v>
      </c>
      <c r="B75">
        <v>0.43334300637245099</v>
      </c>
      <c r="C75" t="s">
        <v>18</v>
      </c>
      <c r="D75">
        <v>0.42499999999999999</v>
      </c>
    </row>
    <row r="76" spans="1:4" x14ac:dyDescent="0.25">
      <c r="A76" s="2">
        <v>42155</v>
      </c>
      <c r="B76">
        <v>0.42450074672698901</v>
      </c>
      <c r="C76" t="s">
        <v>18</v>
      </c>
      <c r="D76">
        <v>0.42499999999999999</v>
      </c>
    </row>
    <row r="77" spans="1:4" x14ac:dyDescent="0.25">
      <c r="A77" s="2">
        <v>42162</v>
      </c>
      <c r="B77">
        <v>0.41806705489754598</v>
      </c>
      <c r="C77" t="s">
        <v>18</v>
      </c>
      <c r="D77">
        <v>0.41</v>
      </c>
    </row>
    <row r="78" spans="1:4" x14ac:dyDescent="0.25">
      <c r="A78" s="2">
        <v>42169</v>
      </c>
      <c r="B78">
        <v>0.41051751941442399</v>
      </c>
      <c r="C78" t="s">
        <v>18</v>
      </c>
      <c r="D78">
        <v>0.40749999999999897</v>
      </c>
    </row>
    <row r="79" spans="1:4" x14ac:dyDescent="0.25">
      <c r="A79" s="2">
        <v>42176</v>
      </c>
      <c r="B79">
        <v>0.408943744450807</v>
      </c>
      <c r="C79" t="s">
        <v>18</v>
      </c>
      <c r="D79">
        <v>0.41</v>
      </c>
    </row>
    <row r="80" spans="1:4" x14ac:dyDescent="0.25">
      <c r="A80" s="2">
        <v>42183</v>
      </c>
      <c r="B80">
        <v>0.40915098980069098</v>
      </c>
      <c r="C80" t="s">
        <v>18</v>
      </c>
      <c r="D80">
        <v>0.41</v>
      </c>
    </row>
    <row r="81" spans="1:4" x14ac:dyDescent="0.25">
      <c r="A81" s="2">
        <v>42190</v>
      </c>
      <c r="B81">
        <v>0.40906354978680598</v>
      </c>
      <c r="C81" t="s">
        <v>18</v>
      </c>
      <c r="D81">
        <v>0.39</v>
      </c>
    </row>
    <row r="82" spans="1:4" x14ac:dyDescent="0.25">
      <c r="A82" s="2">
        <v>42197</v>
      </c>
      <c r="B82">
        <v>0.38058137342333798</v>
      </c>
      <c r="C82" t="s">
        <v>18</v>
      </c>
      <c r="D82">
        <v>0.38250000000000001</v>
      </c>
    </row>
    <row r="83" spans="1:4" x14ac:dyDescent="0.25">
      <c r="A83" s="2">
        <v>42204</v>
      </c>
      <c r="B83">
        <v>0.37899719372391699</v>
      </c>
      <c r="C83" t="s">
        <v>18</v>
      </c>
      <c r="D83">
        <v>0.37</v>
      </c>
    </row>
    <row r="84" spans="1:4" x14ac:dyDescent="0.25">
      <c r="A84" s="2">
        <v>42211</v>
      </c>
      <c r="B84">
        <v>0.36632270559668501</v>
      </c>
      <c r="C84" t="s">
        <v>18</v>
      </c>
      <c r="D84">
        <v>0.33500000000000002</v>
      </c>
    </row>
    <row r="85" spans="1:4" x14ac:dyDescent="0.25">
      <c r="A85" s="2">
        <v>42218</v>
      </c>
      <c r="B85">
        <v>0.32437920391559599</v>
      </c>
      <c r="C85" t="s">
        <v>18</v>
      </c>
      <c r="D85">
        <v>0.32</v>
      </c>
    </row>
    <row r="86" spans="1:4" x14ac:dyDescent="0.25">
      <c r="A86" s="2">
        <v>42225</v>
      </c>
      <c r="B86">
        <v>0.32545289777219299</v>
      </c>
      <c r="C86" t="s">
        <v>18</v>
      </c>
      <c r="D86">
        <v>0.3175</v>
      </c>
    </row>
    <row r="87" spans="1:4" x14ac:dyDescent="0.25">
      <c r="A87" s="2">
        <v>42232</v>
      </c>
      <c r="B87">
        <v>0.32256423130631401</v>
      </c>
      <c r="C87" t="s">
        <v>18</v>
      </c>
      <c r="D87">
        <v>0.30499999999999999</v>
      </c>
    </row>
    <row r="88" spans="1:4" x14ac:dyDescent="0.25">
      <c r="A88" s="2">
        <v>42239</v>
      </c>
      <c r="B88">
        <v>0.31546135067939701</v>
      </c>
      <c r="C88" t="s">
        <v>18</v>
      </c>
      <c r="D88">
        <v>0.3</v>
      </c>
    </row>
    <row r="89" spans="1:4" x14ac:dyDescent="0.25">
      <c r="A89" s="2">
        <v>42246</v>
      </c>
      <c r="B89">
        <v>0.31199763536453201</v>
      </c>
      <c r="C89" t="s">
        <v>18</v>
      </c>
      <c r="D89">
        <v>0.30499999999999999</v>
      </c>
    </row>
    <row r="90" spans="1:4" x14ac:dyDescent="0.25">
      <c r="A90" s="2">
        <v>42253</v>
      </c>
      <c r="B90">
        <v>0.30932570256292802</v>
      </c>
      <c r="C90" t="s">
        <v>18</v>
      </c>
      <c r="D90">
        <v>0.30249999999999999</v>
      </c>
    </row>
    <row r="91" spans="1:4" x14ac:dyDescent="0.25">
      <c r="A91" s="2">
        <v>42260</v>
      </c>
      <c r="B91">
        <v>0.31177611283957901</v>
      </c>
      <c r="C91" t="s">
        <v>18</v>
      </c>
      <c r="D91">
        <v>0.31</v>
      </c>
    </row>
    <row r="92" spans="1:4" x14ac:dyDescent="0.25">
      <c r="A92" s="2">
        <v>42267</v>
      </c>
      <c r="B92">
        <v>0.31709652028977803</v>
      </c>
      <c r="C92" t="s">
        <v>18</v>
      </c>
      <c r="D92">
        <v>0.3075</v>
      </c>
    </row>
    <row r="93" spans="1:4" x14ac:dyDescent="0.25">
      <c r="A93" s="2">
        <v>42274</v>
      </c>
      <c r="B93">
        <v>0.31647101797163402</v>
      </c>
      <c r="C93" t="s">
        <v>18</v>
      </c>
      <c r="D93">
        <v>0.32</v>
      </c>
    </row>
    <row r="94" spans="1:4" x14ac:dyDescent="0.25">
      <c r="A94" s="2">
        <v>42281</v>
      </c>
      <c r="B94">
        <v>0.33715217381715701</v>
      </c>
      <c r="C94" t="s">
        <v>18</v>
      </c>
      <c r="D94">
        <v>0.35249999999999998</v>
      </c>
    </row>
    <row r="95" spans="1:4" x14ac:dyDescent="0.25">
      <c r="A95" s="2">
        <v>42288</v>
      </c>
      <c r="B95">
        <v>0.372676143497228</v>
      </c>
      <c r="C95" t="s">
        <v>18</v>
      </c>
      <c r="D95">
        <v>0.3775</v>
      </c>
    </row>
    <row r="96" spans="1:4" x14ac:dyDescent="0.25">
      <c r="A96" s="2">
        <v>42295</v>
      </c>
      <c r="B96">
        <v>0.38781162545084902</v>
      </c>
      <c r="C96" t="s">
        <v>18</v>
      </c>
      <c r="D96">
        <v>0.37999999999999901</v>
      </c>
    </row>
    <row r="97" spans="1:4" x14ac:dyDescent="0.25">
      <c r="A97" s="2">
        <v>42302</v>
      </c>
      <c r="B97">
        <v>0.38588606759905802</v>
      </c>
      <c r="C97" t="s">
        <v>18</v>
      </c>
      <c r="D97">
        <v>0.4</v>
      </c>
    </row>
    <row r="98" spans="1:4" x14ac:dyDescent="0.25">
      <c r="A98" s="2">
        <v>42309</v>
      </c>
      <c r="B98">
        <v>0.39657583281397801</v>
      </c>
      <c r="C98" t="s">
        <v>18</v>
      </c>
      <c r="D98">
        <v>0.3775</v>
      </c>
    </row>
    <row r="99" spans="1:4" x14ac:dyDescent="0.25">
      <c r="A99" s="2">
        <v>42316</v>
      </c>
      <c r="B99">
        <v>0.36778738170862202</v>
      </c>
      <c r="C99" t="s">
        <v>18</v>
      </c>
      <c r="D99">
        <v>0.36749999999999999</v>
      </c>
    </row>
    <row r="100" spans="1:4" x14ac:dyDescent="0.25">
      <c r="A100" s="2">
        <v>42323</v>
      </c>
      <c r="B100">
        <v>0.37368937030434601</v>
      </c>
      <c r="C100" t="s">
        <v>18</v>
      </c>
      <c r="D100">
        <v>0.36</v>
      </c>
    </row>
    <row r="101" spans="1:4" x14ac:dyDescent="0.25">
      <c r="A101" s="2">
        <v>42330</v>
      </c>
      <c r="B101">
        <v>0.36103616103529901</v>
      </c>
      <c r="C101" t="s">
        <v>18</v>
      </c>
      <c r="D101">
        <v>0.36249999999999999</v>
      </c>
    </row>
    <row r="102" spans="1:4" x14ac:dyDescent="0.25">
      <c r="A102" s="2">
        <v>42337</v>
      </c>
      <c r="B102">
        <v>0.36201939180493298</v>
      </c>
      <c r="C102" t="s">
        <v>18</v>
      </c>
      <c r="D102">
        <v>0.35</v>
      </c>
    </row>
    <row r="103" spans="1:4" x14ac:dyDescent="0.25">
      <c r="A103" s="2">
        <v>42344</v>
      </c>
      <c r="B103">
        <v>0.34621638625860202</v>
      </c>
      <c r="C103" t="s">
        <v>18</v>
      </c>
      <c r="D103">
        <v>0.33500000000000002</v>
      </c>
    </row>
    <row r="104" spans="1:4" x14ac:dyDescent="0.25">
      <c r="A104" s="2">
        <v>42351</v>
      </c>
      <c r="B104">
        <v>0.329316468983888</v>
      </c>
      <c r="C104" t="s">
        <v>18</v>
      </c>
      <c r="D104">
        <v>0.32</v>
      </c>
    </row>
    <row r="105" spans="1:4" x14ac:dyDescent="0.25">
      <c r="A105" s="2">
        <v>42358</v>
      </c>
      <c r="B105">
        <v>0.32488750487565998</v>
      </c>
      <c r="C105" t="s">
        <v>18</v>
      </c>
      <c r="D105">
        <v>0.33500000000000002</v>
      </c>
    </row>
    <row r="106" spans="1:4" x14ac:dyDescent="0.25">
      <c r="A106" s="2">
        <v>42365</v>
      </c>
      <c r="B106">
        <v>0.345310861319303</v>
      </c>
      <c r="C106" t="s">
        <v>18</v>
      </c>
      <c r="D106">
        <v>0.34</v>
      </c>
    </row>
    <row r="107" spans="1:4" x14ac:dyDescent="0.25">
      <c r="A107" s="2">
        <v>42372</v>
      </c>
      <c r="B107">
        <v>0.34113104090094498</v>
      </c>
      <c r="C107" t="s">
        <v>18</v>
      </c>
      <c r="D107">
        <v>0.34</v>
      </c>
    </row>
    <row r="108" spans="1:4" x14ac:dyDescent="0.25">
      <c r="A108" s="2">
        <v>42379</v>
      </c>
      <c r="B108">
        <v>0.348778599947691</v>
      </c>
      <c r="C108" t="s">
        <v>18</v>
      </c>
      <c r="D108">
        <v>0.35499999999999998</v>
      </c>
    </row>
    <row r="109" spans="1:4" x14ac:dyDescent="0.25">
      <c r="A109" s="2">
        <v>42386</v>
      </c>
      <c r="B109">
        <v>0.35396721035242001</v>
      </c>
      <c r="C109" t="s">
        <v>18</v>
      </c>
      <c r="D109">
        <v>0.34</v>
      </c>
    </row>
    <row r="110" spans="1:4" x14ac:dyDescent="0.25">
      <c r="A110" s="2">
        <v>42393</v>
      </c>
      <c r="B110">
        <v>0.35637243658304202</v>
      </c>
      <c r="C110" t="s">
        <v>18</v>
      </c>
      <c r="D110">
        <v>0.35</v>
      </c>
    </row>
    <row r="111" spans="1:4" x14ac:dyDescent="0.25">
      <c r="A111" s="2">
        <v>42400</v>
      </c>
      <c r="B111">
        <v>0.36914402067661201</v>
      </c>
      <c r="C111" t="s">
        <v>18</v>
      </c>
      <c r="D111">
        <v>0.36499999999999999</v>
      </c>
    </row>
    <row r="112" spans="1:4" x14ac:dyDescent="0.25">
      <c r="A112" s="2">
        <v>42407</v>
      </c>
      <c r="B112">
        <v>0.38182375028729398</v>
      </c>
      <c r="C112" t="s">
        <v>18</v>
      </c>
      <c r="D112">
        <v>0.36749999999999999</v>
      </c>
    </row>
    <row r="113" spans="1:4" x14ac:dyDescent="0.25">
      <c r="A113" s="2">
        <v>42414</v>
      </c>
      <c r="B113">
        <v>0.370012240558862</v>
      </c>
      <c r="C113" t="s">
        <v>18</v>
      </c>
      <c r="D113">
        <v>0.37</v>
      </c>
    </row>
    <row r="114" spans="1:4" x14ac:dyDescent="0.25">
      <c r="A114" s="2">
        <v>42421</v>
      </c>
      <c r="B114">
        <v>0.37337423309683798</v>
      </c>
      <c r="C114" t="s">
        <v>18</v>
      </c>
      <c r="D114">
        <v>0.37</v>
      </c>
    </row>
    <row r="115" spans="1:4" x14ac:dyDescent="0.25">
      <c r="A115" s="2">
        <v>42428</v>
      </c>
      <c r="B115">
        <v>0.37716629549860903</v>
      </c>
      <c r="C115" t="s">
        <v>18</v>
      </c>
      <c r="D115">
        <v>0.38250000000000001</v>
      </c>
    </row>
    <row r="116" spans="1:4" x14ac:dyDescent="0.25">
      <c r="A116" s="2">
        <v>42435</v>
      </c>
      <c r="B116">
        <v>0.39248332947492598</v>
      </c>
      <c r="C116" t="s">
        <v>18</v>
      </c>
      <c r="D116">
        <v>0.39750000000000002</v>
      </c>
    </row>
    <row r="117" spans="1:4" x14ac:dyDescent="0.25">
      <c r="A117" s="2">
        <v>42442</v>
      </c>
      <c r="B117">
        <v>0.404882924705743</v>
      </c>
      <c r="C117" t="s">
        <v>18</v>
      </c>
      <c r="D117">
        <v>0.42</v>
      </c>
    </row>
    <row r="118" spans="1:4" x14ac:dyDescent="0.25">
      <c r="A118" s="2">
        <v>42449</v>
      </c>
      <c r="B118">
        <v>0.423104880452156</v>
      </c>
      <c r="C118" t="s">
        <v>18</v>
      </c>
      <c r="D118">
        <v>0.42999999999999899</v>
      </c>
    </row>
    <row r="119" spans="1:4" x14ac:dyDescent="0.25">
      <c r="A119" s="2">
        <v>42456</v>
      </c>
      <c r="B119">
        <v>0.42811484456062299</v>
      </c>
      <c r="C119" t="s">
        <v>18</v>
      </c>
      <c r="D119">
        <v>0.41749999999999998</v>
      </c>
    </row>
    <row r="120" spans="1:4" x14ac:dyDescent="0.25">
      <c r="A120" s="2">
        <v>42463</v>
      </c>
      <c r="B120">
        <v>0.41753830209374398</v>
      </c>
      <c r="C120" t="s">
        <v>18</v>
      </c>
      <c r="D120">
        <v>0.41749999999999998</v>
      </c>
    </row>
    <row r="121" spans="1:4" x14ac:dyDescent="0.25">
      <c r="A121" s="2">
        <v>42470</v>
      </c>
      <c r="B121">
        <v>0.41244679883122398</v>
      </c>
      <c r="C121" t="s">
        <v>18</v>
      </c>
      <c r="D121">
        <v>0.41</v>
      </c>
    </row>
    <row r="122" spans="1:4" x14ac:dyDescent="0.25">
      <c r="A122" s="2">
        <v>42477</v>
      </c>
      <c r="B122">
        <v>0.41334443360567003</v>
      </c>
      <c r="C122" t="s">
        <v>18</v>
      </c>
      <c r="D122">
        <v>0.42</v>
      </c>
    </row>
    <row r="123" spans="1:4" x14ac:dyDescent="0.25">
      <c r="A123" s="2">
        <v>42484</v>
      </c>
      <c r="B123">
        <v>0.41886590614914898</v>
      </c>
      <c r="C123" t="s">
        <v>18</v>
      </c>
      <c r="D123">
        <v>0.40500000000000003</v>
      </c>
    </row>
    <row r="124" spans="1:4" x14ac:dyDescent="0.25">
      <c r="A124" s="2">
        <v>42491</v>
      </c>
      <c r="B124">
        <v>0.39428078949451401</v>
      </c>
      <c r="C124" t="s">
        <v>18</v>
      </c>
      <c r="D124">
        <v>0.38500000000000001</v>
      </c>
    </row>
    <row r="125" spans="1:4" x14ac:dyDescent="0.25">
      <c r="A125" s="2">
        <v>42498</v>
      </c>
      <c r="B125">
        <v>0.372673863619566</v>
      </c>
      <c r="C125" t="s">
        <v>18</v>
      </c>
      <c r="D125">
        <v>0.36749999999999999</v>
      </c>
    </row>
    <row r="126" spans="1:4" x14ac:dyDescent="0.25">
      <c r="A126" s="2">
        <v>42505</v>
      </c>
      <c r="B126">
        <v>0.36606526941061002</v>
      </c>
      <c r="C126" t="s">
        <v>18</v>
      </c>
      <c r="D126">
        <v>0.36</v>
      </c>
    </row>
    <row r="127" spans="1:4" x14ac:dyDescent="0.25">
      <c r="A127" s="2">
        <v>42512</v>
      </c>
      <c r="B127">
        <v>0.35888663873076398</v>
      </c>
      <c r="C127" t="s">
        <v>18</v>
      </c>
      <c r="D127">
        <v>0.37</v>
      </c>
    </row>
    <row r="128" spans="1:4" x14ac:dyDescent="0.25">
      <c r="A128" s="2">
        <v>42519</v>
      </c>
      <c r="B128">
        <v>0.37937649160623499</v>
      </c>
      <c r="C128" t="s">
        <v>18</v>
      </c>
      <c r="D128">
        <v>0.38749999999999901</v>
      </c>
    </row>
    <row r="129" spans="1:4" x14ac:dyDescent="0.25">
      <c r="A129" s="2">
        <v>42526</v>
      </c>
      <c r="B129">
        <v>0.39457170858979201</v>
      </c>
      <c r="C129" t="s">
        <v>18</v>
      </c>
      <c r="D129">
        <v>0.38749999999999901</v>
      </c>
    </row>
    <row r="130" spans="1:4" x14ac:dyDescent="0.25">
      <c r="A130" s="2">
        <v>42533</v>
      </c>
      <c r="B130">
        <v>0.386515716165304</v>
      </c>
      <c r="C130" t="s">
        <v>18</v>
      </c>
      <c r="D130">
        <v>0.35749999999999998</v>
      </c>
    </row>
    <row r="131" spans="1:4" x14ac:dyDescent="0.25">
      <c r="A131" s="2">
        <v>42540</v>
      </c>
      <c r="B131">
        <v>0.35303764611482602</v>
      </c>
      <c r="C131" t="s">
        <v>18</v>
      </c>
      <c r="D131">
        <v>0.35249999999999998</v>
      </c>
    </row>
    <row r="132" spans="1:4" x14ac:dyDescent="0.25">
      <c r="A132" s="2">
        <v>42547</v>
      </c>
      <c r="B132">
        <v>0.35059442192315998</v>
      </c>
      <c r="C132" t="s">
        <v>18</v>
      </c>
      <c r="D132">
        <v>0.34</v>
      </c>
    </row>
    <row r="133" spans="1:4" x14ac:dyDescent="0.25">
      <c r="A133" s="2">
        <v>42554</v>
      </c>
      <c r="B133">
        <v>0.34446260154247199</v>
      </c>
      <c r="C133" t="s">
        <v>18</v>
      </c>
      <c r="D133">
        <v>0.35249999999999998</v>
      </c>
    </row>
    <row r="134" spans="1:4" x14ac:dyDescent="0.25">
      <c r="A134" s="2">
        <v>42561</v>
      </c>
      <c r="B134">
        <v>0.35158601224422398</v>
      </c>
      <c r="C134" t="s">
        <v>18</v>
      </c>
      <c r="D134">
        <v>0.35</v>
      </c>
    </row>
    <row r="135" spans="1:4" x14ac:dyDescent="0.25">
      <c r="A135" s="2">
        <v>42568</v>
      </c>
      <c r="B135">
        <v>0.35224006891250598</v>
      </c>
      <c r="C135" t="s">
        <v>18</v>
      </c>
      <c r="D135">
        <v>0.35249999999999998</v>
      </c>
    </row>
    <row r="136" spans="1:4" x14ac:dyDescent="0.25">
      <c r="A136" s="2">
        <v>42575</v>
      </c>
      <c r="B136">
        <v>0.35567957729101102</v>
      </c>
      <c r="C136" t="s">
        <v>18</v>
      </c>
      <c r="D136">
        <v>0.36499999999999999</v>
      </c>
    </row>
    <row r="137" spans="1:4" x14ac:dyDescent="0.25">
      <c r="A137" s="2">
        <v>42582</v>
      </c>
      <c r="B137">
        <v>0.360648045390844</v>
      </c>
      <c r="C137" t="s">
        <v>18</v>
      </c>
      <c r="D137">
        <v>0.36749999999999999</v>
      </c>
    </row>
    <row r="138" spans="1:4" x14ac:dyDescent="0.25">
      <c r="A138" s="2">
        <v>42589</v>
      </c>
      <c r="B138">
        <v>0.36061679765582</v>
      </c>
      <c r="C138" t="s">
        <v>18</v>
      </c>
      <c r="D138">
        <v>0.37</v>
      </c>
    </row>
    <row r="139" spans="1:4" x14ac:dyDescent="0.25">
      <c r="A139" s="2">
        <v>42596</v>
      </c>
      <c r="B139">
        <v>0.374951774328947</v>
      </c>
      <c r="C139" t="s">
        <v>18</v>
      </c>
      <c r="D139">
        <v>0.375</v>
      </c>
    </row>
    <row r="140" spans="1:4" x14ac:dyDescent="0.25">
      <c r="A140" s="2">
        <v>42603</v>
      </c>
      <c r="B140">
        <v>0.36870800524949998</v>
      </c>
      <c r="C140" t="s">
        <v>18</v>
      </c>
      <c r="D140">
        <v>0.36499999999999999</v>
      </c>
    </row>
    <row r="141" spans="1:4" x14ac:dyDescent="0.25">
      <c r="A141" s="2">
        <v>42610</v>
      </c>
      <c r="B141">
        <v>0.36373544678092001</v>
      </c>
      <c r="C141" t="s">
        <v>18</v>
      </c>
      <c r="D141">
        <v>0.35499999999999998</v>
      </c>
    </row>
    <row r="142" spans="1:4" x14ac:dyDescent="0.25">
      <c r="A142" s="2">
        <v>42617</v>
      </c>
      <c r="B142">
        <v>0.35639462068676903</v>
      </c>
      <c r="C142" t="s">
        <v>18</v>
      </c>
      <c r="D142">
        <v>0.36499999999999999</v>
      </c>
    </row>
    <row r="143" spans="1:4" x14ac:dyDescent="0.25">
      <c r="A143" s="2">
        <v>42624</v>
      </c>
      <c r="B143">
        <v>0.36684609398245799</v>
      </c>
      <c r="C143" t="s">
        <v>18</v>
      </c>
      <c r="D143">
        <v>0.35499999999999998</v>
      </c>
    </row>
    <row r="144" spans="1:4" x14ac:dyDescent="0.25">
      <c r="A144" s="2">
        <v>42631</v>
      </c>
      <c r="B144">
        <v>0.363169768899679</v>
      </c>
      <c r="C144" t="s">
        <v>18</v>
      </c>
      <c r="D144">
        <v>0.36</v>
      </c>
    </row>
    <row r="145" spans="1:4" x14ac:dyDescent="0.25">
      <c r="A145" s="2">
        <v>42638</v>
      </c>
      <c r="B145">
        <v>0.36675176963210099</v>
      </c>
      <c r="C145" t="s">
        <v>18</v>
      </c>
      <c r="D145">
        <v>0.36</v>
      </c>
    </row>
    <row r="146" spans="1:4" x14ac:dyDescent="0.25">
      <c r="A146" s="2">
        <v>42645</v>
      </c>
      <c r="B146">
        <v>0.36322230666875799</v>
      </c>
      <c r="C146" t="s">
        <v>18</v>
      </c>
      <c r="D146">
        <v>0.35749999999999998</v>
      </c>
    </row>
    <row r="147" spans="1:4" x14ac:dyDescent="0.25">
      <c r="A147" s="2">
        <v>42652</v>
      </c>
      <c r="B147">
        <v>0.363151887506246</v>
      </c>
      <c r="C147" t="s">
        <v>18</v>
      </c>
      <c r="D147">
        <v>0.35749999999999998</v>
      </c>
    </row>
    <row r="148" spans="1:4" x14ac:dyDescent="0.25">
      <c r="A148" s="2">
        <v>42659</v>
      </c>
      <c r="B148">
        <v>0.36498384743928902</v>
      </c>
      <c r="C148" t="s">
        <v>18</v>
      </c>
      <c r="D148">
        <v>0.36749999999999999</v>
      </c>
    </row>
    <row r="149" spans="1:4" x14ac:dyDescent="0.25">
      <c r="A149" s="2">
        <v>42666</v>
      </c>
      <c r="B149">
        <v>0.37399125292897201</v>
      </c>
      <c r="C149" t="s">
        <v>18</v>
      </c>
      <c r="D149">
        <v>0.38500000000000001</v>
      </c>
    </row>
    <row r="150" spans="1:4" x14ac:dyDescent="0.25">
      <c r="A150" s="2">
        <v>42673</v>
      </c>
      <c r="B150">
        <v>0.392195897251367</v>
      </c>
      <c r="C150" t="s">
        <v>18</v>
      </c>
      <c r="D150">
        <v>0.375</v>
      </c>
    </row>
    <row r="151" spans="1:4" x14ac:dyDescent="0.25">
      <c r="A151" s="2">
        <v>42680</v>
      </c>
      <c r="B151">
        <v>0.373394427895546</v>
      </c>
      <c r="C151" t="s">
        <v>18</v>
      </c>
      <c r="D151">
        <v>0.375</v>
      </c>
    </row>
    <row r="152" spans="1:4" x14ac:dyDescent="0.25">
      <c r="A152" s="2">
        <v>42687</v>
      </c>
      <c r="B152">
        <v>0.38247761696576998</v>
      </c>
      <c r="C152" t="s">
        <v>18</v>
      </c>
      <c r="D152">
        <v>0.38749999999999901</v>
      </c>
    </row>
    <row r="153" spans="1:4" x14ac:dyDescent="0.25">
      <c r="A153" s="2">
        <v>42694</v>
      </c>
      <c r="B153">
        <v>0.39845988348126399</v>
      </c>
      <c r="C153" t="s">
        <v>18</v>
      </c>
      <c r="D153">
        <v>0.41499999999999898</v>
      </c>
    </row>
    <row r="154" spans="1:4" x14ac:dyDescent="0.25">
      <c r="A154" s="2">
        <v>42701</v>
      </c>
      <c r="B154">
        <v>0.43034550368785801</v>
      </c>
      <c r="C154" t="s">
        <v>18</v>
      </c>
      <c r="D154">
        <v>0.435</v>
      </c>
    </row>
    <row r="155" spans="1:4" x14ac:dyDescent="0.25">
      <c r="A155" s="2">
        <v>42708</v>
      </c>
      <c r="B155">
        <v>0.43330590248107897</v>
      </c>
      <c r="C155" t="s">
        <v>18</v>
      </c>
      <c r="D155">
        <v>0.437499999999999</v>
      </c>
    </row>
    <row r="156" spans="1:4" x14ac:dyDescent="0.25">
      <c r="A156" s="2">
        <v>42715</v>
      </c>
      <c r="B156">
        <v>0.43806244254112198</v>
      </c>
      <c r="C156" t="s">
        <v>18</v>
      </c>
      <c r="D156">
        <v>0.42999999999999899</v>
      </c>
    </row>
    <row r="157" spans="1:4" x14ac:dyDescent="0.25">
      <c r="A157" s="2">
        <v>42722</v>
      </c>
      <c r="B157">
        <v>0.43317545771598798</v>
      </c>
      <c r="C157" t="s">
        <v>18</v>
      </c>
      <c r="D157">
        <v>0.435</v>
      </c>
    </row>
    <row r="158" spans="1:4" x14ac:dyDescent="0.25">
      <c r="A158" s="2">
        <v>42729</v>
      </c>
      <c r="B158">
        <v>0.43481880247592902</v>
      </c>
      <c r="C158" t="s">
        <v>18</v>
      </c>
      <c r="D158">
        <v>0.42499999999999999</v>
      </c>
    </row>
    <row r="159" spans="1:4" x14ac:dyDescent="0.25">
      <c r="A159" s="2">
        <v>42736</v>
      </c>
      <c r="B159">
        <v>0.42994263589382098</v>
      </c>
      <c r="C159" t="s">
        <v>18</v>
      </c>
      <c r="D159">
        <v>0.41749999999999998</v>
      </c>
    </row>
    <row r="160" spans="1:4" x14ac:dyDescent="0.25">
      <c r="A160" s="2">
        <v>42743</v>
      </c>
      <c r="B160">
        <v>0.41274139478802602</v>
      </c>
      <c r="C160" t="s">
        <v>18</v>
      </c>
      <c r="D160">
        <v>0.42749999999999999</v>
      </c>
    </row>
    <row r="161" spans="1:4" x14ac:dyDescent="0.25">
      <c r="A161" s="2">
        <v>42750</v>
      </c>
      <c r="B161">
        <v>0.42717052817344597</v>
      </c>
      <c r="C161" t="s">
        <v>18</v>
      </c>
      <c r="D161">
        <v>0.42</v>
      </c>
    </row>
    <row r="162" spans="1:4" x14ac:dyDescent="0.25">
      <c r="A162" s="2">
        <v>42757</v>
      </c>
      <c r="B162">
        <v>0.41913233891129498</v>
      </c>
      <c r="C162" t="s">
        <v>18</v>
      </c>
      <c r="D162">
        <v>0.42249999999999899</v>
      </c>
    </row>
    <row r="163" spans="1:4" x14ac:dyDescent="0.25">
      <c r="A163" s="2">
        <v>42764</v>
      </c>
      <c r="B163">
        <v>0.42060456991195599</v>
      </c>
      <c r="C163" t="s">
        <v>18</v>
      </c>
      <c r="D163">
        <v>0.42499999999999999</v>
      </c>
    </row>
    <row r="164" spans="1:4" x14ac:dyDescent="0.25">
      <c r="A164" s="2">
        <v>42771</v>
      </c>
      <c r="B164" t="s">
        <v>8</v>
      </c>
      <c r="C164" t="s">
        <v>8</v>
      </c>
      <c r="D164">
        <v>0.42749999999999999</v>
      </c>
    </row>
    <row r="165" spans="1:4" x14ac:dyDescent="0.25">
      <c r="A165" s="2">
        <v>42778</v>
      </c>
      <c r="B165">
        <v>0.41793010577559397</v>
      </c>
      <c r="C165" t="s">
        <v>19</v>
      </c>
      <c r="D165">
        <v>0.435</v>
      </c>
    </row>
    <row r="166" spans="1:4" x14ac:dyDescent="0.25">
      <c r="A166" s="2">
        <v>42785</v>
      </c>
      <c r="B166">
        <v>0.42313036143779698</v>
      </c>
      <c r="C166" t="s">
        <v>19</v>
      </c>
      <c r="D166">
        <v>0.41</v>
      </c>
    </row>
    <row r="167" spans="1:4" x14ac:dyDescent="0.25">
      <c r="A167" s="2">
        <v>42792</v>
      </c>
      <c r="B167">
        <v>0.40228240013122502</v>
      </c>
      <c r="C167" t="s">
        <v>19</v>
      </c>
      <c r="D167">
        <v>0.38500000000000001</v>
      </c>
    </row>
    <row r="168" spans="1:4" x14ac:dyDescent="0.25">
      <c r="A168" s="2">
        <v>42799</v>
      </c>
      <c r="B168">
        <v>0.37451302081346499</v>
      </c>
      <c r="C168" t="s">
        <v>19</v>
      </c>
      <c r="D168">
        <v>0.3775</v>
      </c>
    </row>
    <row r="169" spans="1:4" x14ac:dyDescent="0.25">
      <c r="A169" s="2">
        <v>42806</v>
      </c>
      <c r="B169">
        <v>0.37249536260962401</v>
      </c>
      <c r="C169" t="s">
        <v>19</v>
      </c>
      <c r="D169">
        <v>0.37999999999999901</v>
      </c>
    </row>
    <row r="170" spans="1:4" x14ac:dyDescent="0.25">
      <c r="A170" s="2">
        <v>42813</v>
      </c>
      <c r="B170">
        <v>0.37839834585785798</v>
      </c>
      <c r="C170" t="s">
        <v>19</v>
      </c>
      <c r="D170">
        <v>0.38500000000000001</v>
      </c>
    </row>
    <row r="171" spans="1:4" x14ac:dyDescent="0.25">
      <c r="A171" s="2">
        <v>42820</v>
      </c>
      <c r="B171">
        <v>0.37395551249384801</v>
      </c>
      <c r="C171" t="s">
        <v>19</v>
      </c>
      <c r="D171">
        <v>0.38250000000000001</v>
      </c>
    </row>
    <row r="172" spans="1:4" x14ac:dyDescent="0.25">
      <c r="A172" s="2">
        <v>42827</v>
      </c>
      <c r="B172">
        <v>0.37523719489574398</v>
      </c>
      <c r="C172" t="s">
        <v>19</v>
      </c>
      <c r="D172">
        <v>0.38250000000000001</v>
      </c>
    </row>
    <row r="173" spans="1:4" x14ac:dyDescent="0.25">
      <c r="A173" s="2">
        <v>42834</v>
      </c>
      <c r="B173">
        <v>0.36125600159168197</v>
      </c>
      <c r="C173" t="s">
        <v>19</v>
      </c>
      <c r="D173">
        <v>0.36749999999999999</v>
      </c>
    </row>
    <row r="174" spans="1:4" x14ac:dyDescent="0.25">
      <c r="A174" s="2">
        <v>42841</v>
      </c>
      <c r="B174">
        <v>0.36109485670924102</v>
      </c>
      <c r="C174" t="s">
        <v>19</v>
      </c>
      <c r="D174">
        <v>0.35249999999999998</v>
      </c>
    </row>
    <row r="175" spans="1:4" x14ac:dyDescent="0.25">
      <c r="A175" s="2">
        <v>42848</v>
      </c>
      <c r="B175">
        <v>0.33120671108365002</v>
      </c>
      <c r="C175" t="s">
        <v>19</v>
      </c>
      <c r="D175">
        <v>0.35499999999999998</v>
      </c>
    </row>
    <row r="176" spans="1:4" x14ac:dyDescent="0.25">
      <c r="A176" s="2">
        <v>42855</v>
      </c>
      <c r="B176">
        <v>0.34545000091195099</v>
      </c>
      <c r="C176" t="s">
        <v>19</v>
      </c>
      <c r="D176">
        <v>0.36499999999999999</v>
      </c>
    </row>
    <row r="177" spans="1:4" x14ac:dyDescent="0.25">
      <c r="A177" s="2">
        <v>42862</v>
      </c>
      <c r="B177">
        <v>0.352792011648416</v>
      </c>
      <c r="C177" t="s">
        <v>19</v>
      </c>
      <c r="D177">
        <v>0.3725</v>
      </c>
    </row>
    <row r="178" spans="1:4" x14ac:dyDescent="0.25">
      <c r="A178" s="2">
        <v>42869</v>
      </c>
      <c r="B178">
        <v>0.36386627152562101</v>
      </c>
      <c r="C178" t="s">
        <v>19</v>
      </c>
      <c r="D178">
        <v>0.3725</v>
      </c>
    </row>
    <row r="179" spans="1:4" x14ac:dyDescent="0.25">
      <c r="A179" s="2">
        <v>42876</v>
      </c>
      <c r="B179">
        <v>0.363527273833751</v>
      </c>
      <c r="C179" t="s">
        <v>19</v>
      </c>
      <c r="D179">
        <v>0.3775</v>
      </c>
    </row>
    <row r="180" spans="1:4" x14ac:dyDescent="0.25">
      <c r="A180" s="2">
        <v>42883</v>
      </c>
      <c r="B180">
        <v>0.36649320468306501</v>
      </c>
      <c r="C180" t="s">
        <v>19</v>
      </c>
      <c r="D180">
        <v>0.36749999999999999</v>
      </c>
    </row>
    <row r="181" spans="1:4" x14ac:dyDescent="0.25">
      <c r="A181" s="2">
        <v>42890</v>
      </c>
      <c r="B181">
        <v>0.35032051250338497</v>
      </c>
      <c r="C181" t="s">
        <v>19</v>
      </c>
      <c r="D181">
        <v>0.36499999999999999</v>
      </c>
    </row>
    <row r="182" spans="1:4" x14ac:dyDescent="0.25">
      <c r="A182" s="2">
        <v>42897</v>
      </c>
      <c r="B182">
        <v>0.351988958269357</v>
      </c>
      <c r="C182" t="s">
        <v>19</v>
      </c>
      <c r="D182">
        <v>0.3725</v>
      </c>
    </row>
    <row r="183" spans="1:4" x14ac:dyDescent="0.25">
      <c r="A183" s="2">
        <v>42904</v>
      </c>
      <c r="B183">
        <v>0.35831883743405302</v>
      </c>
      <c r="C183" t="s">
        <v>19</v>
      </c>
      <c r="D183">
        <v>0.3725</v>
      </c>
    </row>
    <row r="184" spans="1:4" x14ac:dyDescent="0.25">
      <c r="A184" s="2">
        <v>42911</v>
      </c>
      <c r="B184">
        <v>0.36535226002335502</v>
      </c>
      <c r="C184" t="s">
        <v>19</v>
      </c>
      <c r="D184">
        <v>0.375</v>
      </c>
    </row>
    <row r="185" spans="1:4" x14ac:dyDescent="0.25">
      <c r="A185" s="2">
        <v>42918</v>
      </c>
      <c r="B185">
        <v>0.351905061006546</v>
      </c>
      <c r="C185" t="s">
        <v>19</v>
      </c>
      <c r="D185">
        <v>0.375</v>
      </c>
    </row>
    <row r="186" spans="1:4" x14ac:dyDescent="0.25">
      <c r="A186" s="2">
        <v>42925</v>
      </c>
      <c r="B186">
        <v>0.35758574500679902</v>
      </c>
      <c r="C186" t="s">
        <v>19</v>
      </c>
      <c r="D186">
        <v>0.3775</v>
      </c>
    </row>
    <row r="187" spans="1:4" x14ac:dyDescent="0.25">
      <c r="A187" s="2">
        <v>42932</v>
      </c>
      <c r="B187">
        <v>0.35573272973299003</v>
      </c>
      <c r="C187" t="s">
        <v>19</v>
      </c>
      <c r="D187">
        <v>0.37999999999999901</v>
      </c>
    </row>
    <row r="188" spans="1:4" x14ac:dyDescent="0.25">
      <c r="A188" s="2">
        <v>42939</v>
      </c>
      <c r="B188">
        <v>0.36888805970549499</v>
      </c>
      <c r="C188" t="s">
        <v>19</v>
      </c>
      <c r="D188">
        <v>0.38749999999999901</v>
      </c>
    </row>
    <row r="189" spans="1:4" x14ac:dyDescent="0.25">
      <c r="A189" s="2">
        <v>42946</v>
      </c>
      <c r="B189">
        <v>0.36887990131974202</v>
      </c>
      <c r="C189" t="s">
        <v>19</v>
      </c>
      <c r="D189">
        <v>0.38749999999999901</v>
      </c>
    </row>
    <row r="190" spans="1:4" x14ac:dyDescent="0.25">
      <c r="A190" s="2">
        <v>42953</v>
      </c>
      <c r="B190">
        <v>0.36167622551321899</v>
      </c>
      <c r="C190" t="s">
        <v>19</v>
      </c>
      <c r="D190">
        <v>0.3775</v>
      </c>
    </row>
    <row r="191" spans="1:4" x14ac:dyDescent="0.25">
      <c r="A191" s="2">
        <v>42960</v>
      </c>
      <c r="B191">
        <v>0.35547643348574598</v>
      </c>
      <c r="C191" t="s">
        <v>19</v>
      </c>
      <c r="D191">
        <v>0.3725</v>
      </c>
    </row>
    <row r="192" spans="1:4" x14ac:dyDescent="0.25">
      <c r="A192" s="2">
        <v>42967</v>
      </c>
      <c r="B192">
        <v>0.35600324168801301</v>
      </c>
      <c r="C192" t="s">
        <v>19</v>
      </c>
      <c r="D192">
        <v>0.3725</v>
      </c>
    </row>
    <row r="193" spans="1:4" x14ac:dyDescent="0.25">
      <c r="A193" s="2">
        <v>42974</v>
      </c>
      <c r="B193">
        <v>0.354732478111982</v>
      </c>
      <c r="C193" t="s">
        <v>19</v>
      </c>
      <c r="D193">
        <v>0.39</v>
      </c>
    </row>
    <row r="194" spans="1:4" x14ac:dyDescent="0.25">
      <c r="A194" s="2">
        <v>42981</v>
      </c>
      <c r="B194">
        <v>0.36228622689843099</v>
      </c>
      <c r="C194" t="s">
        <v>19</v>
      </c>
      <c r="D194">
        <v>0.39</v>
      </c>
    </row>
    <row r="195" spans="1:4" x14ac:dyDescent="0.25">
      <c r="A195" s="2">
        <v>42988</v>
      </c>
      <c r="B195">
        <v>0.37074432715773498</v>
      </c>
      <c r="C195" t="s">
        <v>19</v>
      </c>
      <c r="D195">
        <v>0.38500000000000001</v>
      </c>
    </row>
    <row r="196" spans="1:4" x14ac:dyDescent="0.25">
      <c r="A196" s="2">
        <v>42995</v>
      </c>
      <c r="B196">
        <v>0.36474129751324602</v>
      </c>
      <c r="C196" t="s">
        <v>19</v>
      </c>
      <c r="D196">
        <v>0.38250000000000001</v>
      </c>
    </row>
    <row r="197" spans="1:4" x14ac:dyDescent="0.25">
      <c r="A197" s="2">
        <v>43002</v>
      </c>
      <c r="B197">
        <v>0.36784159585833498</v>
      </c>
      <c r="C197" t="s">
        <v>19</v>
      </c>
      <c r="D197">
        <v>0.38250000000000001</v>
      </c>
    </row>
    <row r="198" spans="1:4" x14ac:dyDescent="0.25">
      <c r="A198" s="2">
        <v>43009</v>
      </c>
      <c r="B198">
        <v>0.35800432607531502</v>
      </c>
      <c r="C198" t="s">
        <v>19</v>
      </c>
      <c r="D198">
        <v>0.37999999999999901</v>
      </c>
    </row>
    <row r="199" spans="1:4" x14ac:dyDescent="0.25">
      <c r="A199" s="2">
        <v>43016</v>
      </c>
      <c r="B199">
        <v>0.35993711471557599</v>
      </c>
      <c r="C199" t="s">
        <v>19</v>
      </c>
      <c r="D199">
        <v>0.37999999999999901</v>
      </c>
    </row>
    <row r="200" spans="1:4" x14ac:dyDescent="0.25">
      <c r="A200" s="2">
        <v>43023</v>
      </c>
      <c r="B200">
        <v>0.36552903994917801</v>
      </c>
      <c r="C200" t="s">
        <v>19</v>
      </c>
      <c r="D200">
        <v>0.38250000000000001</v>
      </c>
    </row>
    <row r="201" spans="1:4" x14ac:dyDescent="0.25">
      <c r="A201" s="2">
        <v>43030</v>
      </c>
      <c r="B201">
        <v>0.362250598222017</v>
      </c>
      <c r="C201" t="s">
        <v>19</v>
      </c>
      <c r="D201">
        <v>0.38749999999999901</v>
      </c>
    </row>
    <row r="202" spans="1:4" x14ac:dyDescent="0.25">
      <c r="A202" s="2">
        <v>43037</v>
      </c>
      <c r="B202">
        <v>0.35733062222599898</v>
      </c>
      <c r="C202" t="s">
        <v>19</v>
      </c>
      <c r="D202">
        <v>0.39</v>
      </c>
    </row>
    <row r="203" spans="1:4" x14ac:dyDescent="0.25">
      <c r="A203" s="2">
        <v>43044</v>
      </c>
      <c r="B203">
        <v>0.36358517602085999</v>
      </c>
      <c r="C203" t="s">
        <v>19</v>
      </c>
      <c r="D203">
        <v>0.39750000000000002</v>
      </c>
    </row>
    <row r="204" spans="1:4" x14ac:dyDescent="0.25">
      <c r="A204" s="2">
        <v>43051</v>
      </c>
      <c r="B204">
        <v>0.37663965493440599</v>
      </c>
      <c r="C204" t="s">
        <v>19</v>
      </c>
      <c r="D204">
        <v>0.39499999999999902</v>
      </c>
    </row>
    <row r="205" spans="1:4" x14ac:dyDescent="0.25">
      <c r="A205" s="2">
        <v>43058</v>
      </c>
      <c r="B205">
        <v>0.36433464109897601</v>
      </c>
      <c r="C205" t="s">
        <v>19</v>
      </c>
      <c r="D205">
        <v>0.3775</v>
      </c>
    </row>
    <row r="206" spans="1:4" x14ac:dyDescent="0.25">
      <c r="A206" s="2">
        <v>43065</v>
      </c>
      <c r="B206">
        <v>0.358433971256017</v>
      </c>
      <c r="C206" t="s">
        <v>19</v>
      </c>
      <c r="D206">
        <v>0.3775</v>
      </c>
    </row>
    <row r="207" spans="1:4" x14ac:dyDescent="0.25">
      <c r="A207" s="2">
        <v>43072</v>
      </c>
      <c r="B207">
        <v>0.35768570199608801</v>
      </c>
      <c r="C207" t="s">
        <v>19</v>
      </c>
      <c r="D207">
        <v>0.375</v>
      </c>
    </row>
    <row r="208" spans="1:4" x14ac:dyDescent="0.25">
      <c r="A208" s="2">
        <v>43079</v>
      </c>
      <c r="B208">
        <v>0.34265050113201101</v>
      </c>
      <c r="C208" t="s">
        <v>19</v>
      </c>
      <c r="D208">
        <v>0.375</v>
      </c>
    </row>
    <row r="209" spans="1:4" x14ac:dyDescent="0.25">
      <c r="A209" s="2">
        <v>43086</v>
      </c>
      <c r="B209">
        <v>0.35458711355924599</v>
      </c>
      <c r="C209" t="s">
        <v>19</v>
      </c>
      <c r="D209">
        <v>0.375</v>
      </c>
    </row>
    <row r="210" spans="1:4" x14ac:dyDescent="0.25">
      <c r="A210" s="2">
        <v>43093</v>
      </c>
      <c r="B210">
        <v>0.35337136879563302</v>
      </c>
      <c r="C210" t="s">
        <v>19</v>
      </c>
      <c r="D210">
        <v>0.37</v>
      </c>
    </row>
    <row r="211" spans="1:4" x14ac:dyDescent="0.25">
      <c r="A211" s="2">
        <v>43100</v>
      </c>
      <c r="B211">
        <v>0.33945945471525102</v>
      </c>
      <c r="C211" t="s">
        <v>19</v>
      </c>
      <c r="D211">
        <v>0.37999999999999901</v>
      </c>
    </row>
    <row r="212" spans="1:4" x14ac:dyDescent="0.25">
      <c r="A212" s="2">
        <v>43107</v>
      </c>
      <c r="B212">
        <v>0.35406756967306102</v>
      </c>
      <c r="C212" t="s">
        <v>19</v>
      </c>
      <c r="D212">
        <v>0.38250000000000001</v>
      </c>
    </row>
    <row r="213" spans="1:4" x14ac:dyDescent="0.25">
      <c r="A213" s="2">
        <v>43114</v>
      </c>
      <c r="B213">
        <v>0.39043588757514902</v>
      </c>
      <c r="C213" t="s">
        <v>19</v>
      </c>
      <c r="D213">
        <v>0.37999999999999901</v>
      </c>
    </row>
    <row r="214" spans="1:4" x14ac:dyDescent="0.25">
      <c r="A214" s="2">
        <v>43121</v>
      </c>
      <c r="B214">
        <v>0.38646806225180602</v>
      </c>
      <c r="C214" t="s">
        <v>19</v>
      </c>
      <c r="D214">
        <v>0.38250000000000001</v>
      </c>
    </row>
    <row r="215" spans="1:4" x14ac:dyDescent="0.25">
      <c r="A215" s="2">
        <v>43128</v>
      </c>
      <c r="B215">
        <v>0.387886425554752</v>
      </c>
      <c r="C215" t="s">
        <v>19</v>
      </c>
      <c r="D215">
        <v>0.38500000000000001</v>
      </c>
    </row>
    <row r="216" spans="1:4" x14ac:dyDescent="0.25">
      <c r="A216" s="2">
        <v>43135</v>
      </c>
      <c r="B216">
        <v>0.39649170085787699</v>
      </c>
      <c r="C216" t="s">
        <v>19</v>
      </c>
      <c r="D216">
        <v>0.37</v>
      </c>
    </row>
    <row r="217" spans="1:4" x14ac:dyDescent="0.25">
      <c r="A217" s="2">
        <v>43142</v>
      </c>
      <c r="B217">
        <v>0.35756046518683399</v>
      </c>
      <c r="C217" t="s">
        <v>19</v>
      </c>
      <c r="D217">
        <v>0.35749999999999998</v>
      </c>
    </row>
    <row r="218" spans="1:4" x14ac:dyDescent="0.25">
      <c r="A218" s="2">
        <v>43149</v>
      </c>
      <c r="B218">
        <v>0.349594069719314</v>
      </c>
      <c r="C218" t="s">
        <v>19</v>
      </c>
      <c r="D218">
        <v>0.36</v>
      </c>
    </row>
    <row r="219" spans="1:4" x14ac:dyDescent="0.25">
      <c r="A219" s="2">
        <v>43156</v>
      </c>
      <c r="B219">
        <v>0.36265353307127901</v>
      </c>
      <c r="C219" t="s">
        <v>19</v>
      </c>
      <c r="D219">
        <v>0.35499999999999998</v>
      </c>
    </row>
    <row r="220" spans="1:4" x14ac:dyDescent="0.25">
      <c r="A220" s="2">
        <v>43163</v>
      </c>
      <c r="B220">
        <v>0.340876666903495</v>
      </c>
      <c r="C220" t="s">
        <v>19</v>
      </c>
      <c r="D220">
        <v>0.35499999999999998</v>
      </c>
    </row>
    <row r="221" spans="1:4" x14ac:dyDescent="0.25">
      <c r="A221" s="2">
        <v>43170</v>
      </c>
      <c r="B221">
        <v>0.35950208276510198</v>
      </c>
      <c r="C221" t="s">
        <v>19</v>
      </c>
      <c r="D221">
        <v>0.35749999999999998</v>
      </c>
    </row>
    <row r="222" spans="1:4" x14ac:dyDescent="0.25">
      <c r="A222" s="2">
        <v>43177</v>
      </c>
      <c r="B222">
        <v>0.35434665352106098</v>
      </c>
      <c r="C222" t="s">
        <v>19</v>
      </c>
      <c r="D222">
        <v>0.35</v>
      </c>
    </row>
    <row r="223" spans="1:4" x14ac:dyDescent="0.25">
      <c r="A223" s="2">
        <v>43184</v>
      </c>
      <c r="B223">
        <v>0.358708908855915</v>
      </c>
      <c r="C223" t="s">
        <v>19</v>
      </c>
      <c r="D223">
        <v>0.35</v>
      </c>
    </row>
    <row r="224" spans="1:4" x14ac:dyDescent="0.25">
      <c r="A224" s="2">
        <v>43191</v>
      </c>
      <c r="B224">
        <v>0.34999225482344598</v>
      </c>
      <c r="C224" t="s">
        <v>19</v>
      </c>
      <c r="D224">
        <v>0.35</v>
      </c>
    </row>
    <row r="225" spans="1:4" x14ac:dyDescent="0.25">
      <c r="A225" s="2">
        <v>43198</v>
      </c>
      <c r="B225">
        <v>0.34656472697854002</v>
      </c>
      <c r="C225" t="s">
        <v>19</v>
      </c>
      <c r="D225">
        <v>0.34499999999999997</v>
      </c>
    </row>
    <row r="226" spans="1:4" x14ac:dyDescent="0.25">
      <c r="A226" s="2">
        <v>43205</v>
      </c>
      <c r="B226">
        <v>0.35574870005249898</v>
      </c>
      <c r="C226" t="s">
        <v>19</v>
      </c>
      <c r="D226">
        <v>0.34250000000000003</v>
      </c>
    </row>
    <row r="227" spans="1:4" x14ac:dyDescent="0.25">
      <c r="A227" s="2">
        <v>43212</v>
      </c>
      <c r="B227">
        <v>0.35187541142105999</v>
      </c>
      <c r="C227" t="s">
        <v>19</v>
      </c>
      <c r="D227">
        <v>0.35</v>
      </c>
    </row>
    <row r="228" spans="1:4" x14ac:dyDescent="0.25">
      <c r="A228" s="2">
        <v>43219</v>
      </c>
      <c r="B228">
        <v>0.33701829805970102</v>
      </c>
      <c r="C228" t="s">
        <v>19</v>
      </c>
      <c r="D228">
        <v>0.35</v>
      </c>
    </row>
    <row r="229" spans="1:4" x14ac:dyDescent="0.25">
      <c r="A229" s="2">
        <v>43226</v>
      </c>
      <c r="B229">
        <v>0.333371734321117</v>
      </c>
      <c r="C229" t="s">
        <v>19</v>
      </c>
      <c r="D229">
        <v>0.36</v>
      </c>
    </row>
    <row r="230" spans="1:4" x14ac:dyDescent="0.25">
      <c r="A230" s="2">
        <v>43233</v>
      </c>
      <c r="B230">
        <v>0.35499394878745</v>
      </c>
      <c r="C230" t="s">
        <v>19</v>
      </c>
      <c r="D230">
        <v>0.35249999999999998</v>
      </c>
    </row>
    <row r="231" spans="1:4" x14ac:dyDescent="0.25">
      <c r="A231" s="2">
        <v>43240</v>
      </c>
      <c r="B231">
        <v>0.34174082994461003</v>
      </c>
      <c r="C231" t="s">
        <v>19</v>
      </c>
      <c r="D231">
        <v>0.32</v>
      </c>
    </row>
    <row r="232" spans="1:4" x14ac:dyDescent="0.25">
      <c r="A232" s="2">
        <v>43247</v>
      </c>
      <c r="B232">
        <v>0.31851335808634701</v>
      </c>
      <c r="C232" t="s">
        <v>19</v>
      </c>
      <c r="D232">
        <v>0.3125</v>
      </c>
    </row>
    <row r="233" spans="1:4" x14ac:dyDescent="0.25">
      <c r="A233" s="2">
        <v>43254</v>
      </c>
      <c r="B233">
        <v>0.30540662080049502</v>
      </c>
      <c r="C233" t="s">
        <v>19</v>
      </c>
      <c r="D233">
        <v>0.3125</v>
      </c>
    </row>
    <row r="234" spans="1:4" x14ac:dyDescent="0.25">
      <c r="A234" s="2">
        <v>43261</v>
      </c>
      <c r="B234">
        <v>0.306205326765775</v>
      </c>
      <c r="C234" t="s">
        <v>19</v>
      </c>
      <c r="D234">
        <v>0.31</v>
      </c>
    </row>
    <row r="235" spans="1:4" x14ac:dyDescent="0.25">
      <c r="A235" s="2">
        <v>43268</v>
      </c>
      <c r="B235">
        <v>0.309306172728538</v>
      </c>
      <c r="C235" t="s">
        <v>19</v>
      </c>
      <c r="D235">
        <v>0.32250000000000001</v>
      </c>
    </row>
    <row r="236" spans="1:4" x14ac:dyDescent="0.25">
      <c r="A236" s="2">
        <v>43275</v>
      </c>
      <c r="B236">
        <v>0.32809361636638601</v>
      </c>
      <c r="C236" t="s">
        <v>19</v>
      </c>
      <c r="D236">
        <v>0.3175</v>
      </c>
    </row>
    <row r="237" spans="1:4" x14ac:dyDescent="0.25">
      <c r="A237" s="2">
        <v>43282</v>
      </c>
      <c r="B237">
        <v>0.31964969269931298</v>
      </c>
      <c r="C237" t="s">
        <v>19</v>
      </c>
      <c r="D237">
        <v>0.30499999999999999</v>
      </c>
    </row>
    <row r="238" spans="1:4" x14ac:dyDescent="0.25">
      <c r="A238" s="2">
        <v>43289</v>
      </c>
      <c r="B238">
        <v>0.29919391505420201</v>
      </c>
      <c r="C238" t="s">
        <v>19</v>
      </c>
      <c r="D238">
        <v>0.28249999999999997</v>
      </c>
    </row>
    <row r="239" spans="1:4" x14ac:dyDescent="0.25">
      <c r="A239" s="2">
        <v>43296</v>
      </c>
      <c r="B239">
        <v>0.27843660403043002</v>
      </c>
      <c r="C239" t="s">
        <v>19</v>
      </c>
      <c r="D239">
        <v>0.27250000000000002</v>
      </c>
    </row>
    <row r="240" spans="1:4" x14ac:dyDescent="0.25">
      <c r="A240" s="2">
        <v>43303</v>
      </c>
      <c r="B240">
        <v>0.27754524730145902</v>
      </c>
      <c r="C240" t="s">
        <v>19</v>
      </c>
      <c r="D240">
        <v>0.28000000000000003</v>
      </c>
    </row>
    <row r="241" spans="1:4" x14ac:dyDescent="0.25">
      <c r="A241" s="2">
        <v>43310</v>
      </c>
      <c r="B241">
        <v>0.28651740968227302</v>
      </c>
      <c r="C241" t="s">
        <v>19</v>
      </c>
      <c r="D241">
        <v>0.27750000000000002</v>
      </c>
    </row>
    <row r="242" spans="1:4" x14ac:dyDescent="0.25">
      <c r="A242" s="2">
        <v>43317</v>
      </c>
      <c r="B242">
        <v>0.27679146833717799</v>
      </c>
      <c r="C242" t="s">
        <v>19</v>
      </c>
      <c r="D242">
        <v>0.28000000000000003</v>
      </c>
    </row>
    <row r="243" spans="1:4" x14ac:dyDescent="0.25">
      <c r="A243" s="2">
        <v>43324</v>
      </c>
      <c r="B243">
        <v>0.27470323171466499</v>
      </c>
      <c r="C243" t="s">
        <v>19</v>
      </c>
      <c r="D243">
        <v>0.27750000000000002</v>
      </c>
    </row>
    <row r="244" spans="1:4" x14ac:dyDescent="0.25">
      <c r="A244" s="2">
        <v>43331</v>
      </c>
      <c r="B244">
        <v>0.27802637692540799</v>
      </c>
      <c r="C244" t="s">
        <v>19</v>
      </c>
      <c r="D244">
        <v>0.27500000000000002</v>
      </c>
    </row>
    <row r="245" spans="1:4" x14ac:dyDescent="0.25">
      <c r="A245" s="2">
        <v>43338</v>
      </c>
      <c r="B245">
        <v>0.284677917212247</v>
      </c>
      <c r="C245" t="s">
        <v>19</v>
      </c>
      <c r="D245">
        <v>0.28000000000000003</v>
      </c>
    </row>
    <row r="246" spans="1:4" x14ac:dyDescent="0.25">
      <c r="A246" s="2">
        <v>43345</v>
      </c>
      <c r="B246">
        <v>0.28092432215809798</v>
      </c>
      <c r="C246" t="s">
        <v>19</v>
      </c>
      <c r="D246">
        <v>0.27500000000000002</v>
      </c>
    </row>
    <row r="247" spans="1:4" x14ac:dyDescent="0.25">
      <c r="A247" s="2">
        <v>43352</v>
      </c>
      <c r="B247">
        <v>0.27468153096735398</v>
      </c>
      <c r="C247" t="s">
        <v>19</v>
      </c>
      <c r="D247">
        <v>0.247499999999999</v>
      </c>
    </row>
    <row r="248" spans="1:4" x14ac:dyDescent="0.25">
      <c r="A248" s="2">
        <v>43359</v>
      </c>
      <c r="B248">
        <v>0.26463146422058298</v>
      </c>
      <c r="C248" t="s">
        <v>19</v>
      </c>
      <c r="D248">
        <v>0.245</v>
      </c>
    </row>
    <row r="249" spans="1:4" x14ac:dyDescent="0.25">
      <c r="A249" s="2">
        <v>43366</v>
      </c>
      <c r="B249">
        <v>0.25948539476841598</v>
      </c>
      <c r="C249" t="s">
        <v>19</v>
      </c>
      <c r="D249">
        <v>0.247499999999999</v>
      </c>
    </row>
    <row r="250" spans="1:4" x14ac:dyDescent="0.25">
      <c r="A250" s="2">
        <v>43373</v>
      </c>
      <c r="B250">
        <v>0.25777791168540698</v>
      </c>
      <c r="C250" t="s">
        <v>19</v>
      </c>
      <c r="D250">
        <v>0.26500000000000001</v>
      </c>
    </row>
    <row r="251" spans="1:4" x14ac:dyDescent="0.25">
      <c r="A251" s="2">
        <v>43380</v>
      </c>
      <c r="B251">
        <v>0.27405988711863699</v>
      </c>
      <c r="C251" t="s">
        <v>19</v>
      </c>
      <c r="D251">
        <v>0.25</v>
      </c>
    </row>
    <row r="252" spans="1:4" x14ac:dyDescent="0.25">
      <c r="A252" s="2">
        <v>43387</v>
      </c>
      <c r="B252">
        <v>0.25819466549903097</v>
      </c>
      <c r="C252" t="s">
        <v>19</v>
      </c>
      <c r="D252">
        <v>0.24249999999999999</v>
      </c>
    </row>
    <row r="253" spans="1:4" x14ac:dyDescent="0.25">
      <c r="A253" s="2">
        <v>43394</v>
      </c>
      <c r="B253">
        <v>0.25797718025743899</v>
      </c>
      <c r="C253" t="s">
        <v>19</v>
      </c>
      <c r="D253">
        <v>0.247499999999999</v>
      </c>
    </row>
    <row r="254" spans="1:4" x14ac:dyDescent="0.25">
      <c r="A254" s="2">
        <v>43401</v>
      </c>
      <c r="B254">
        <v>0.26267320018261597</v>
      </c>
      <c r="C254" t="s">
        <v>19</v>
      </c>
      <c r="D254">
        <v>0.255</v>
      </c>
    </row>
    <row r="255" spans="1:4" x14ac:dyDescent="0.25">
      <c r="A255" s="2">
        <v>43408</v>
      </c>
      <c r="B255">
        <v>0.26430157486349298</v>
      </c>
      <c r="C255" t="s">
        <v>19</v>
      </c>
      <c r="D255">
        <v>0.25</v>
      </c>
    </row>
    <row r="256" spans="1:4" x14ac:dyDescent="0.25">
      <c r="A256" s="2">
        <v>43415</v>
      </c>
      <c r="B256">
        <v>0.25825000561773698</v>
      </c>
      <c r="C256" t="s">
        <v>19</v>
      </c>
      <c r="D256">
        <v>0.24249999999999999</v>
      </c>
    </row>
    <row r="257" spans="1:4" x14ac:dyDescent="0.25">
      <c r="A257" s="2">
        <v>43422</v>
      </c>
      <c r="B257">
        <v>0.256240670643746</v>
      </c>
      <c r="C257" t="s">
        <v>19</v>
      </c>
      <c r="D257">
        <v>0.23250000000000001</v>
      </c>
    </row>
    <row r="258" spans="1:4" x14ac:dyDescent="0.25">
      <c r="A258" s="2">
        <v>43429</v>
      </c>
      <c r="B258">
        <v>0.256205868981778</v>
      </c>
      <c r="C258" t="s">
        <v>19</v>
      </c>
      <c r="D258">
        <v>0.23499999999999999</v>
      </c>
    </row>
    <row r="259" spans="1:4" x14ac:dyDescent="0.25">
      <c r="A259" s="2">
        <v>43436</v>
      </c>
      <c r="B259">
        <v>0.25623903337866</v>
      </c>
      <c r="C259" t="s">
        <v>19</v>
      </c>
      <c r="D259">
        <v>0.2525</v>
      </c>
    </row>
    <row r="260" spans="1:4" x14ac:dyDescent="0.25">
      <c r="A260" s="2">
        <v>43443</v>
      </c>
      <c r="B260">
        <v>0.25645247854292302</v>
      </c>
      <c r="C260" t="s">
        <v>19</v>
      </c>
      <c r="D260">
        <v>0.25750000000000001</v>
      </c>
    </row>
    <row r="261" spans="1:4" x14ac:dyDescent="0.25">
      <c r="A261" s="2">
        <v>43450</v>
      </c>
      <c r="B261">
        <v>0.26892723429948001</v>
      </c>
      <c r="C261" t="s">
        <v>19</v>
      </c>
      <c r="D261">
        <v>0.2525</v>
      </c>
    </row>
    <row r="262" spans="1:4" x14ac:dyDescent="0.25">
      <c r="A262" s="2">
        <v>43457</v>
      </c>
      <c r="B262">
        <v>0.25624196983873798</v>
      </c>
      <c r="C262" t="s">
        <v>19</v>
      </c>
      <c r="D262">
        <v>0.23499999999999999</v>
      </c>
    </row>
    <row r="263" spans="1:4" x14ac:dyDescent="0.25">
      <c r="A263" s="2">
        <v>43464</v>
      </c>
      <c r="B263">
        <v>0.25621908444911201</v>
      </c>
      <c r="C263" t="s">
        <v>19</v>
      </c>
      <c r="D263">
        <v>0.24249999999999999</v>
      </c>
    </row>
    <row r="264" spans="1:4" x14ac:dyDescent="0.25">
      <c r="A264" s="2">
        <v>43471</v>
      </c>
      <c r="B264">
        <v>0.25623029664158797</v>
      </c>
      <c r="C264" t="s">
        <v>19</v>
      </c>
      <c r="D264">
        <v>0.25</v>
      </c>
    </row>
    <row r="265" spans="1:4" x14ac:dyDescent="0.25">
      <c r="A265" s="2">
        <v>43478</v>
      </c>
      <c r="B265">
        <v>0.26232042822986801</v>
      </c>
      <c r="C265" t="s">
        <v>19</v>
      </c>
      <c r="D265">
        <v>0.26250000000000001</v>
      </c>
    </row>
    <row r="266" spans="1:4" x14ac:dyDescent="0.25">
      <c r="A266" s="2">
        <v>43485</v>
      </c>
      <c r="B266">
        <v>0.27000438429415202</v>
      </c>
      <c r="C266" t="s">
        <v>19</v>
      </c>
      <c r="D266">
        <v>0.26500000000000001</v>
      </c>
    </row>
    <row r="267" spans="1:4" x14ac:dyDescent="0.25">
      <c r="A267" s="2">
        <v>43492</v>
      </c>
      <c r="B267">
        <v>0.26630998782813498</v>
      </c>
      <c r="C267" t="s">
        <v>19</v>
      </c>
      <c r="D267">
        <v>0.26250000000000001</v>
      </c>
    </row>
    <row r="268" spans="1:4" x14ac:dyDescent="0.25">
      <c r="A268" s="2">
        <v>43499</v>
      </c>
      <c r="B268">
        <v>0.25775626681745001</v>
      </c>
      <c r="C268" t="s">
        <v>19</v>
      </c>
      <c r="D268">
        <v>0.25750000000000001</v>
      </c>
    </row>
    <row r="269" spans="1:4" x14ac:dyDescent="0.25">
      <c r="A269" s="2">
        <v>43506</v>
      </c>
      <c r="B269">
        <v>0.25676754310727101</v>
      </c>
      <c r="C269" t="s">
        <v>19</v>
      </c>
      <c r="D269">
        <v>0.2525</v>
      </c>
    </row>
    <row r="270" spans="1:4" x14ac:dyDescent="0.25">
      <c r="A270" s="2">
        <v>43513</v>
      </c>
      <c r="B270">
        <v>0.25679211605340202</v>
      </c>
      <c r="C270" t="s">
        <v>19</v>
      </c>
      <c r="D270">
        <v>0.26750000000000002</v>
      </c>
    </row>
    <row r="271" spans="1:4" x14ac:dyDescent="0.25">
      <c r="A271" s="2">
        <v>43520</v>
      </c>
      <c r="B271">
        <v>0.27309651307761601</v>
      </c>
      <c r="C271" t="s">
        <v>19</v>
      </c>
      <c r="D271">
        <v>0.28249999999999997</v>
      </c>
    </row>
    <row r="272" spans="1:4" x14ac:dyDescent="0.25">
      <c r="A272" s="2">
        <v>43527</v>
      </c>
      <c r="B272">
        <v>0.272913876995444</v>
      </c>
      <c r="C272" t="s">
        <v>19</v>
      </c>
      <c r="D272">
        <v>0.27750000000000002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Profit Maximization</vt:lpstr>
      <vt:lpstr>UOB</vt:lpstr>
      <vt:lpstr>Profit Evaluation</vt:lpstr>
      <vt:lpstr>UOB - Actual and Prediction</vt:lpstr>
      <vt:lpstr>Capita</vt:lpstr>
      <vt:lpstr>CMT - Actual and Prediction</vt:lpstr>
      <vt:lpstr>Golden-Agri</vt:lpstr>
      <vt:lpstr>GAR - Actual and Prediction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 Li</dc:creator>
  <cp:lastModifiedBy>Wei Li</cp:lastModifiedBy>
  <dcterms:created xsi:type="dcterms:W3CDTF">2019-03-17T17:15:27Z</dcterms:created>
  <dcterms:modified xsi:type="dcterms:W3CDTF">2019-04-14T15:36:44Z</dcterms:modified>
</cp:coreProperties>
</file>